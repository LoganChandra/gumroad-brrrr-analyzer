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al Input" sheetId="1" state="visible" r:id="rId1"/>
    <sheet name="BRRRR Analyzer" sheetId="2" state="visible" r:id="rId2"/>
    <sheet name="Flip Analyzer" sheetId="3" state="visible" r:id="rId3"/>
    <sheet name="Buy &amp; Hold 30yr" sheetId="4" state="visible" r:id="rId4"/>
    <sheet name="Deal Score" sheetId="5" state="visible" r:id="rId5"/>
    <sheet name="Refi Scenarios" sheetId="6" state="visible" r:id="rId6"/>
    <sheet name="Deal Criteri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$#,##0"/>
    <numFmt numFmtId="166" formatCode="0.0%"/>
  </numFmts>
  <fonts count="11">
    <font>
      <name val="Calibri"/>
      <family val="2"/>
      <color theme="1"/>
      <sz val="11"/>
      <scheme val="minor"/>
    </font>
    <font>
      <name val="Calibri"/>
      <b val="1"/>
      <color rgb="001B2A4A"/>
      <sz val="16"/>
    </font>
    <font>
      <name val="Calibri"/>
      <b val="1"/>
      <color rgb="001B2A4A"/>
      <sz val="13"/>
    </font>
    <font>
      <name val="Calibri"/>
      <b val="1"/>
      <color rgb="00333333"/>
      <sz val="11"/>
    </font>
    <font>
      <name val="Calibri"/>
      <color rgb="00333333"/>
      <sz val="12"/>
    </font>
    <font>
      <name val="Calibri"/>
      <i val="1"/>
      <color rgb="00888888"/>
      <sz val="10"/>
    </font>
    <font>
      <name val="Calibri"/>
      <b val="1"/>
      <color rgb="0027AE60"/>
      <sz val="12"/>
    </font>
    <font>
      <name val="Calibri"/>
      <b val="1"/>
      <color rgb="0027AE60"/>
      <sz val="13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color rgb="00666666"/>
      <sz val="11"/>
    </font>
  </fonts>
  <fills count="7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F5F6FA"/>
        <bgColor rgb="00F5F6FA"/>
      </patternFill>
    </fill>
    <fill>
      <patternFill patternType="solid">
        <fgColor rgb="001B2A4A"/>
        <bgColor rgb="001B2A4A"/>
      </patternFill>
    </fill>
    <fill>
      <patternFill patternType="solid">
        <fgColor rgb="00F0F0F0"/>
        <bgColor rgb="00F0F0F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3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5" fillId="0" borderId="0" pivotButton="0" quotePrefix="0" xfId="0"/>
    <xf numFmtId="164" fontId="4" fillId="0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8" fillId="4" borderId="1" applyAlignment="1" pivotButton="0" quotePrefix="0" xfId="0">
      <alignment horizontal="center" vertical="center" wrapText="1"/>
    </xf>
    <xf numFmtId="1" fontId="9" fillId="0" borderId="1" applyAlignment="1" pivotButton="0" quotePrefix="0" xfId="0">
      <alignment horizontal="center" vertical="center" wrapText="1"/>
    </xf>
    <xf numFmtId="165" fontId="9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/>
    </xf>
    <xf numFmtId="0" fontId="0" fillId="5" borderId="0" pivotButton="0" quotePrefix="0" xfId="0"/>
    <xf numFmtId="0" fontId="10" fillId="0" borderId="0" applyAlignment="1" pivotButton="0" quotePrefix="0" xfId="0">
      <alignment horizontal="left" vertical="top" wrapText="1"/>
    </xf>
    <xf numFmtId="166" fontId="9" fillId="0" borderId="1" applyAlignment="1" pivotButton="0" quotePrefix="0" xfId="0">
      <alignment horizontal="center" vertical="center" wrapText="1"/>
    </xf>
    <xf numFmtId="10" fontId="9" fillId="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155724"/>
      </font>
      <fill>
        <patternFill patternType="solid">
          <fgColor rgb="00D4EDDA"/>
          <bgColor rgb="00D4EDDA"/>
        </patternFill>
      </fill>
    </dxf>
    <dxf>
      <font>
        <b val="1"/>
        <color rgb="00721C24"/>
      </font>
      <fill>
        <patternFill patternType="solid">
          <fgColor rgb="00F8D7DA"/>
          <b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30" customWidth="1" min="3" max="3"/>
    <col width="20" customWidth="1" min="4" max="4"/>
  </cols>
  <sheetData>
    <row r="1" ht="40" customHeight="1">
      <c r="A1" s="1" t="inlineStr">
        <is>
          <t>🏠 BRRRR &amp; Rental Deal Analyzer — Input Sheet</t>
        </is>
      </c>
    </row>
    <row r="3" ht="28" customHeight="1">
      <c r="A3" s="2" t="inlineStr">
        <is>
          <t>PROPERTY &amp; PURCHASE</t>
        </is>
      </c>
      <c r="B3" s="3" t="n"/>
      <c r="C3" s="3" t="n"/>
      <c r="D3" s="3" t="n"/>
    </row>
    <row r="5">
      <c r="A5" s="4" t="inlineStr">
        <is>
          <t>Property Address</t>
        </is>
      </c>
      <c r="B5" s="5" t="inlineStr">
        <is>
          <t>$0.00</t>
        </is>
      </c>
      <c r="C5" s="4" t="inlineStr">
        <is>
          <t>123 Main St, Anytown, USA</t>
        </is>
      </c>
    </row>
    <row r="6">
      <c r="A6" s="4" t="inlineStr">
        <is>
          <t>Purchase Price</t>
        </is>
      </c>
      <c r="B6" s="5" t="inlineStr">
        <is>
          <t>$250,000</t>
        </is>
      </c>
    </row>
    <row r="7">
      <c r="A7" s="4" t="inlineStr">
        <is>
          <t>After-Repair Value (ARV)</t>
        </is>
      </c>
      <c r="B7" s="5" t="inlineStr">
        <is>
          <t>$350,000</t>
        </is>
      </c>
    </row>
    <row r="8">
      <c r="A8" s="4" t="inlineStr">
        <is>
          <t>Rehab / Renovation Budget</t>
        </is>
      </c>
      <c r="B8" s="5" t="inlineStr">
        <is>
          <t>$40,000</t>
        </is>
      </c>
    </row>
    <row r="9">
      <c r="A9" s="4" t="inlineStr">
        <is>
          <t>Holding Period (months)</t>
        </is>
      </c>
      <c r="B9" s="5" t="inlineStr">
        <is>
          <t>6</t>
        </is>
      </c>
    </row>
    <row r="10">
      <c r="A10" s="4" t="inlineStr">
        <is>
          <t>Closing Costs (% of Purchase)</t>
        </is>
      </c>
      <c r="B10" s="5" t="inlineStr">
        <is>
          <t>6%</t>
        </is>
      </c>
    </row>
    <row r="12" ht="28" customHeight="1">
      <c r="A12" s="2" t="inlineStr">
        <is>
          <t>FINANCING</t>
        </is>
      </c>
      <c r="B12" s="3" t="n"/>
      <c r="C12" s="3" t="n"/>
      <c r="D12" s="3" t="n"/>
    </row>
    <row r="14">
      <c r="A14" s="4" t="inlineStr">
        <is>
          <t>Down Payment (%)</t>
        </is>
      </c>
      <c r="B14" s="5" t="inlineStr">
        <is>
          <t>20%</t>
        </is>
      </c>
    </row>
    <row r="15">
      <c r="A15" s="4" t="inlineStr">
        <is>
          <t>Interest Rate (Annual)</t>
        </is>
      </c>
      <c r="B15" s="5" t="inlineStr">
        <is>
          <t>7.5%</t>
        </is>
      </c>
    </row>
    <row r="16">
      <c r="A16" s="4" t="inlineStr">
        <is>
          <t>Loan Term (Years)</t>
        </is>
      </c>
      <c r="B16" s="5" t="inlineStr">
        <is>
          <t>30</t>
        </is>
      </c>
    </row>
    <row r="17">
      <c r="A17" s="4" t="inlineStr">
        <is>
          <t>Refinance LTV (%)</t>
        </is>
      </c>
      <c r="B17" s="5" t="inlineStr">
        <is>
          <t>70%</t>
        </is>
      </c>
    </row>
    <row r="18">
      <c r="A18" s="4" t="inlineStr">
        <is>
          <t>Refinance Interest Rate</t>
        </is>
      </c>
      <c r="B18" s="5" t="inlineStr">
        <is>
          <t>7.0%</t>
        </is>
      </c>
    </row>
    <row r="19">
      <c r="A19" s="4" t="inlineStr">
        <is>
          <t>Refinance Closing Costs</t>
        </is>
      </c>
      <c r="B19" s="5" t="inlineStr">
        <is>
          <t>$5,000</t>
        </is>
      </c>
    </row>
    <row r="21" ht="28" customHeight="1">
      <c r="A21" s="2" t="inlineStr">
        <is>
          <t>RENTAL INCOME &amp; EXPENSES</t>
        </is>
      </c>
      <c r="B21" s="3" t="n"/>
      <c r="C21" s="3" t="n"/>
      <c r="D21" s="3" t="n"/>
    </row>
    <row r="23">
      <c r="A23" s="4" t="inlineStr">
        <is>
          <t>Monthly Rent (After Rehab)</t>
        </is>
      </c>
      <c r="B23" s="5" t="inlineStr">
        <is>
          <t>$2,800</t>
        </is>
      </c>
    </row>
    <row r="24">
      <c r="A24" s="4" t="inlineStr">
        <is>
          <t>Property Management (5% of Rent)</t>
        </is>
      </c>
      <c r="B24" s="5" t="inlineStr">
        <is>
          <t>5%</t>
        </is>
      </c>
    </row>
    <row r="25">
      <c r="A25" s="4" t="inlineStr">
        <is>
          <t>Vacancy Rate</t>
        </is>
      </c>
      <c r="B25" s="5" t="inlineStr">
        <is>
          <t>5%</t>
        </is>
      </c>
    </row>
    <row r="26">
      <c r="A26" s="4" t="inlineStr">
        <is>
          <t>Property Tax (Annual)</t>
        </is>
      </c>
      <c r="B26" s="5" t="inlineStr">
        <is>
          <t>$3,600</t>
        </is>
      </c>
    </row>
    <row r="27">
      <c r="A27" s="4" t="inlineStr">
        <is>
          <t>Insurance (Annual)</t>
        </is>
      </c>
      <c r="B27" s="5" t="inlineStr">
        <is>
          <t>$1,200</t>
        </is>
      </c>
    </row>
    <row r="28">
      <c r="A28" s="4" t="inlineStr">
        <is>
          <t>HOA (Monthly)</t>
        </is>
      </c>
      <c r="B28" s="5" t="inlineStr">
        <is>
          <t>$0</t>
        </is>
      </c>
    </row>
    <row r="29">
      <c r="A29" s="4" t="inlineStr">
        <is>
          <t>Maintenance Reserve (% of Rent)</t>
        </is>
      </c>
      <c r="B29" s="5" t="inlineStr">
        <is>
          <t>10%</t>
        </is>
      </c>
    </row>
    <row r="30">
      <c r="A30" s="4" t="inlineStr">
        <is>
          <t>Capex Reserve (% of Rent)</t>
        </is>
      </c>
      <c r="B30" s="5" t="inlineStr">
        <is>
          <t>5%</t>
        </is>
      </c>
    </row>
    <row r="31">
      <c r="A31" s="4" t="inlineStr">
        <is>
          <t>Other Monthly Expenses</t>
        </is>
      </c>
      <c r="B31" s="5" t="inlineStr">
        <is>
          <t>$100</t>
        </is>
      </c>
    </row>
    <row r="33" ht="28" customHeight="1">
      <c r="A33" s="2" t="inlineStr">
        <is>
          <t>FLIP SCENARIO (Separate Tab)</t>
        </is>
      </c>
      <c r="B33" s="3" t="n"/>
      <c r="C33" s="3" t="n"/>
      <c r="D33" s="3" t="n"/>
    </row>
    <row r="35">
      <c r="A35" s="4" t="inlineStr">
        <is>
          <t>Flip Sale Price</t>
        </is>
      </c>
      <c r="B35" s="5" t="inlineStr">
        <is>
          <t>$365,000</t>
        </is>
      </c>
    </row>
    <row r="36">
      <c r="A36" s="4" t="inlineStr">
        <is>
          <t>Seller Closing Costs</t>
        </is>
      </c>
      <c r="B36" s="5" t="inlineStr">
        <is>
          <t>3%</t>
        </is>
      </c>
    </row>
    <row r="37">
      <c r="A37" s="4" t="inlineStr">
        <is>
          <t>Real Estate Commission</t>
        </is>
      </c>
      <c r="B37" s="5" t="inlineStr">
        <is>
          <t>5%</t>
        </is>
      </c>
    </row>
    <row r="40">
      <c r="A40" s="6" t="inlineStr">
        <is>
          <t>💡 Yellow cells are editable inputs. Change values to run your deal.</t>
        </is>
      </c>
    </row>
  </sheetData>
  <mergeCells count="6">
    <mergeCell ref="A1:D1"/>
    <mergeCell ref="A40:D40"/>
    <mergeCell ref="A12:D12"/>
    <mergeCell ref="A3:D3"/>
    <mergeCell ref="A21:D21"/>
    <mergeCell ref="A33:D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AE60"/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40" customWidth="1" min="4" max="4"/>
  </cols>
  <sheetData>
    <row r="1" ht="40" customHeight="1">
      <c r="A1" s="1" t="inlineStr">
        <is>
          <t>💰 BRRRR Analysis — Buy → Rehab → Rent → Refinance → Repeat</t>
        </is>
      </c>
    </row>
    <row r="3" ht="28" customHeight="1">
      <c r="A3" s="2" t="inlineStr">
        <is>
          <t>TOTAL CASH NEEDED (Before Refinance)</t>
        </is>
      </c>
      <c r="B3" s="3" t="n"/>
      <c r="C3" s="3" t="n"/>
      <c r="D3" s="3" t="n"/>
    </row>
    <row r="5">
      <c r="A5" s="4" t="inlineStr">
        <is>
          <t>Down Payment</t>
        </is>
      </c>
      <c r="B5" s="5">
        <f>ROUND("Deal Input"!C7*"Deal Input"!C13,2)</f>
        <v/>
      </c>
    </row>
    <row r="6">
      <c r="A6" s="4" t="inlineStr">
        <is>
          <t>Closing Costs (Purchase)</t>
        </is>
      </c>
      <c r="B6" s="5">
        <f>ROUND("Deal Input"!C7*"Deal Input"!C11,2)</f>
        <v/>
      </c>
    </row>
    <row r="7">
      <c r="A7" s="4" t="inlineStr">
        <is>
          <t>Rehab Budget</t>
        </is>
      </c>
      <c r="B7" s="5">
        <f>"Deal Input"!C9</f>
        <v/>
      </c>
    </row>
    <row r="8">
      <c r="A8" s="4" t="inlineStr">
        <is>
          <t>Holding Costs (6 months × PITI + utils)</t>
        </is>
      </c>
      <c r="B8" s="5">
        <f>ROUND(("Deal Input"!C7-"Deal Input"!C13*"Deal Input"!C7)/"Deal Input"!C15/12*"Deal Input"!C10,2)</f>
        <v/>
      </c>
    </row>
    <row r="9">
      <c r="A9" s="4" t="inlineStr">
        <is>
          <t>Upfront Total Investment</t>
        </is>
      </c>
      <c r="B9" s="7">
        <f>SUM(C5:C8)</f>
        <v/>
      </c>
    </row>
    <row r="12" ht="28" customHeight="1">
      <c r="A12" s="2" t="inlineStr">
        <is>
          <t>REFINANCE PROCEEDS — KEY FORMULA</t>
        </is>
      </c>
      <c r="B12" s="3" t="n"/>
      <c r="C12" s="3" t="n"/>
      <c r="D12" s="3" t="n"/>
    </row>
    <row r="14">
      <c r="A14" s="4" t="inlineStr">
        <is>
          <t>ARV × Refi LTV − Purchase × 1.06 (Closing) − Rehab − Holding × 6 Months</t>
        </is>
      </c>
      <c r="B14" s="8">
        <f> CASH YOU PULL OUT</f>
        <v/>
      </c>
    </row>
    <row r="16">
      <c r="A16" s="4" t="inlineStr">
        <is>
          <t>After-Repair Value (ARV)</t>
        </is>
      </c>
      <c r="B16" s="5">
        <f>"Deal Input"!C8</f>
        <v/>
      </c>
    </row>
    <row r="17">
      <c r="A17" s="4" t="inlineStr">
        <is>
          <t>Refinance LTV %</t>
        </is>
      </c>
      <c r="B17" s="5">
        <f>"Deal Input"!C16</f>
        <v/>
      </c>
    </row>
    <row r="18">
      <c r="A18" s="4" t="inlineStr">
        <is>
          <t>Max Refi Loan Amount</t>
        </is>
      </c>
      <c r="B18" s="5">
        <f>ROUND(B14*B15,2)</f>
        <v/>
      </c>
    </row>
    <row r="19">
      <c r="A19" s="4" t="inlineStr">
        <is>
          <t>Purchase Price (incl. 6% closing)</t>
        </is>
      </c>
      <c r="B19" s="5">
        <f>ROUND("Deal Input"!C7*1.06,2)</f>
        <v/>
      </c>
    </row>
    <row r="20">
      <c r="A20" s="4" t="inlineStr">
        <is>
          <t>Rehab Costs</t>
        </is>
      </c>
      <c r="B20" s="5">
        <f>"Deal Input"!C9</f>
        <v/>
      </c>
    </row>
    <row r="21">
      <c r="A21" s="4" t="inlineStr">
        <is>
          <t>Holding Costs (6 months)</t>
        </is>
      </c>
      <c r="B21" s="5">
        <f>C7</f>
        <v/>
      </c>
    </row>
    <row r="22">
      <c r="A22" s="4" t="inlineStr">
        <is>
          <t>Cash Pulled Out (Refi Proceeds − Costs)</t>
        </is>
      </c>
      <c r="B22" s="9">
        <f>B16-B17-B18-B19</f>
        <v/>
      </c>
      <c r="C22" s="10" t="inlineStr">
        <is>
          <t>✅ Green = positive cash-out</t>
        </is>
      </c>
    </row>
    <row r="23">
      <c r="A23" s="4" t="inlineStr">
        <is>
          <t>Cash Left In (If Negative: You're bringing cash)</t>
        </is>
      </c>
      <c r="B23" s="9">
        <f>C9-B20</f>
        <v/>
      </c>
      <c r="C23" s="10" t="inlineStr">
        <is>
          <t>✅ Green = positive cash-out</t>
        </is>
      </c>
    </row>
    <row r="26" ht="28" customHeight="1">
      <c r="A26" s="2" t="inlineStr">
        <is>
          <t>CASH-ON-CASH RETURN (Pre-Refi)</t>
        </is>
      </c>
      <c r="B26" s="3" t="n"/>
      <c r="C26" s="3" t="n"/>
      <c r="D26" s="3" t="n"/>
    </row>
    <row r="28">
      <c r="A28" s="4" t="inlineStr">
        <is>
          <t>Annual Net Operating Income</t>
        </is>
      </c>
      <c r="B28" s="11">
        <f>ROUND(("Deal Input"!C20*12)*(1-"Deal Input"!C21-"Deal Input"!C22)-"Deal Input"!C23-"Deal Input"!C24-"Deal Input"!C26*12,2)</f>
        <v/>
      </c>
    </row>
    <row r="29">
      <c r="A29" s="4" t="inlineStr">
        <is>
          <t>Annual Debt Service (P&amp;I)</t>
        </is>
      </c>
      <c r="B29" s="11">
        <f>ROUND(PMT("Deal Input"!C14/12,"Deal Input"!C15*12,-("Deal Input"!C7-"Deal Input"!C13*"Deal Input"!C7)),2)*12</f>
        <v/>
      </c>
    </row>
    <row r="30">
      <c r="A30" s="4" t="inlineStr">
        <is>
          <t>Annual Cash Flow</t>
        </is>
      </c>
      <c r="B30" s="11">
        <f>ROUND(B27-B28,2)</f>
        <v/>
      </c>
    </row>
    <row r="31">
      <c r="A31" s="4" t="inlineStr">
        <is>
          <t>Cash on Cash Return</t>
        </is>
      </c>
      <c r="B31" s="12">
        <f>IF(C9&gt;0,B29/C9,"N/A")</f>
        <v/>
      </c>
    </row>
    <row r="34" ht="28" customHeight="1">
      <c r="A34" s="2" t="inlineStr">
        <is>
          <t>BRRRR DEAL QUALITY SCORE</t>
        </is>
      </c>
      <c r="B34" s="3" t="n"/>
      <c r="C34" s="3" t="n"/>
      <c r="D34" s="3" t="n"/>
    </row>
    <row r="36">
      <c r="A36" s="4" t="inlineStr">
        <is>
          <t>Cash Pulled Out</t>
        </is>
      </c>
      <c r="B36" s="5">
        <f>IF(B20&gt;0,"Positive ✅","Negative ❌")</f>
        <v/>
      </c>
    </row>
    <row r="37">
      <c r="A37" s="4" t="inlineStr">
        <is>
          <t>CoC Return Score</t>
        </is>
      </c>
      <c r="B37" s="5">
        <f>IF(B30&gt;=0.1,"Green ✅",IF(B30&gt;=0.05,"Yellow","Red ❌"))</f>
        <v/>
      </c>
    </row>
    <row r="38">
      <c r="A38" s="4" t="inlineStr">
        <is>
          <t>Overall Score</t>
        </is>
      </c>
      <c r="B38" s="5">
        <f>IF(AND(B20&gt;0,B30&gt;=0.1),"GREEN LIGHT 🟢 — BRRRR this deal!",IF(OR(B20&gt;0,B30&gt;=0.05),"YELLOW ⚠️ — Proceed carefully","RED 🔴 — Pass on this deal"))</f>
        <v/>
      </c>
    </row>
    <row r="41">
      <c r="A41" s="10" t="inlineStr">
        <is>
          <t>Note: The KEY FORMULA is ARV × Refi LTV − Purchase × 1.06 (Closing) − Rehab − Holding × 6 months = Cash you actually pull out.</t>
        </is>
      </c>
    </row>
  </sheetData>
  <mergeCells count="5">
    <mergeCell ref="A1:D1"/>
    <mergeCell ref="A34:D34"/>
    <mergeCell ref="A12:D12"/>
    <mergeCell ref="A26:D26"/>
    <mergeCell ref="A3:D3"/>
  </mergeCells>
  <conditionalFormatting sqref="C20">
    <cfRule type="cellIs" priority="1" operator="greaterThan" dxfId="0">
      <formula>0</formula>
    </cfRule>
    <cfRule type="cellIs" priority="2" operator="lessThanOrEqual" dxfId="1">
      <formula>0</formula>
    </cfRule>
  </conditionalFormatting>
  <conditionalFormatting sqref="C30">
    <cfRule type="cellIs" priority="3" operator="greaterThan" dxfId="0">
      <formula>0</formula>
    </cfRule>
    <cfRule type="cellIs" priority="4" operator="lessThanOrEqual" dxfId="1">
      <formula>0</formula>
    </cfRule>
  </conditionalFormatting>
  <conditionalFormatting sqref="C35">
    <cfRule type="cellIs" priority="5" operator="greaterThan" dxfId="0">
      <formula>0</formula>
    </cfRule>
    <cfRule type="cellIs" priority="6" operator="lessThanOrEqual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39C12"/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40" customWidth="1" min="4" max="4"/>
  </cols>
  <sheetData>
    <row r="1" ht="40" customHeight="1">
      <c r="A1" s="1" t="inlineStr">
        <is>
          <t>🔨 Flip Analysis — Purchase → Rehab → Sell</t>
        </is>
      </c>
    </row>
    <row r="3" ht="28" customHeight="1">
      <c r="A3" s="2" t="inlineStr">
        <is>
          <t>ACQUISITION COSTS</t>
        </is>
      </c>
      <c r="B3" s="3" t="n"/>
      <c r="C3" s="3" t="n"/>
      <c r="D3" s="3" t="n"/>
    </row>
    <row r="5">
      <c r="A5" s="4" t="inlineStr">
        <is>
          <t>Purchase Price</t>
        </is>
      </c>
      <c r="B5" s="5">
        <f>"Deal Input"!C7</f>
        <v/>
      </c>
    </row>
    <row r="6">
      <c r="A6" s="4" t="inlineStr">
        <is>
          <t>Closing Costs (Purchase)</t>
        </is>
      </c>
      <c r="B6" s="5">
        <f>ROUND("Deal Input"!C7*"Deal Input"!C11,2)</f>
        <v/>
      </c>
    </row>
    <row r="7">
      <c r="A7" s="4" t="inlineStr">
        <is>
          <t>Rehab Budget</t>
        </is>
      </c>
      <c r="B7" s="5">
        <f>"Deal Input"!C9</f>
        <v/>
      </c>
    </row>
    <row r="8">
      <c r="A8" s="4" t="inlineStr">
        <is>
          <t>Total Acquisition</t>
        </is>
      </c>
      <c r="B8" s="5">
        <f>SUM(C4:C6)</f>
        <v/>
      </c>
    </row>
    <row r="11" ht="28" customHeight="1">
      <c r="A11" s="2" t="inlineStr">
        <is>
          <t>SELLING COSTS &amp; REVENUE</t>
        </is>
      </c>
      <c r="B11" s="3" t="n"/>
      <c r="C11" s="3" t="n"/>
      <c r="D11" s="3" t="n"/>
    </row>
    <row r="13">
      <c r="A13" s="4" t="inlineStr">
        <is>
          <t>Flip Sale Price</t>
        </is>
      </c>
      <c r="B13" s="5">
        <f>"Deal Input"!C32</f>
        <v/>
      </c>
    </row>
    <row r="14">
      <c r="A14" s="4" t="inlineStr">
        <is>
          <t>Seller Closing Costs (3%)</t>
        </is>
      </c>
      <c r="B14" s="5">
        <f>ROUND("Deal Input"!C32*"Deal Input"!C33,2)</f>
        <v/>
      </c>
    </row>
    <row r="15">
      <c r="A15" s="4" t="inlineStr">
        <is>
          <t>Real Estate Commission (5%)</t>
        </is>
      </c>
      <c r="B15" s="5">
        <f>ROUND("Deal Input"!C32*"Deal Input"!C34,2)</f>
        <v/>
      </c>
    </row>
    <row r="16">
      <c r="A16" s="4" t="inlineStr">
        <is>
          <t>Total Selling Costs</t>
        </is>
      </c>
      <c r="B16" s="5">
        <f>SUM(C12:C13)</f>
        <v/>
      </c>
    </row>
    <row r="17">
      <c r="A17" s="4" t="inlineStr">
        <is>
          <t>Net Sale Proceeds</t>
        </is>
      </c>
      <c r="B17" s="5">
        <f>C11-C14</f>
        <v/>
      </c>
    </row>
    <row r="20" ht="28" customHeight="1">
      <c r="A20" s="2" t="inlineStr">
        <is>
          <t>PROFIT &amp; RETURN</t>
        </is>
      </c>
      <c r="B20" s="3" t="n"/>
      <c r="C20" s="3" t="n"/>
      <c r="D20" s="3" t="n"/>
    </row>
    <row r="22">
      <c r="A22" s="4" t="inlineStr">
        <is>
          <t>Holding Costs (PITI)</t>
        </is>
      </c>
      <c r="B22" s="11">
        <f>"BRRRR Analyzer"!C7</f>
        <v/>
      </c>
    </row>
    <row r="23">
      <c r="A23" s="4" t="inlineStr">
        <is>
          <t>Total All-In Cost</t>
        </is>
      </c>
      <c r="B23" s="11">
        <f>C7+C18</f>
        <v/>
      </c>
    </row>
    <row r="24">
      <c r="A24" s="4" t="inlineStr">
        <is>
          <t>Gross Profit</t>
        </is>
      </c>
      <c r="B24" s="11">
        <f>C15-C19</f>
        <v/>
      </c>
    </row>
    <row r="25">
      <c r="A25" s="4" t="inlineStr">
        <is>
          <t>Return on Investment (ROI)</t>
        </is>
      </c>
      <c r="B25" s="12">
        <f>IF(C19&gt;0,C20/C19,"N/A")</f>
        <v/>
      </c>
    </row>
    <row r="26">
      <c r="A26" s="4" t="inlineStr">
        <is>
          <t>Annualized ROI (6-month hold)</t>
        </is>
      </c>
      <c r="B26" s="12">
        <f>IF(C21&gt;0,C21*2,"N/A")</f>
        <v/>
      </c>
    </row>
  </sheetData>
  <mergeCells count="4">
    <mergeCell ref="A1:D1"/>
    <mergeCell ref="A20:D20"/>
    <mergeCell ref="A3:D3"/>
    <mergeCell ref="A11:D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C1"/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0" customHeight="1">
      <c r="A1" s="1" t="inlineStr">
        <is>
          <t>📈 30-Year Buy &amp; Hold Projection</t>
        </is>
      </c>
    </row>
    <row r="3">
      <c r="A3" s="13" t="inlineStr">
        <is>
          <t>Assumptions:</t>
        </is>
      </c>
    </row>
    <row r="4">
      <c r="A4" s="4" t="inlineStr">
        <is>
          <t>Appreciation Rate</t>
        </is>
      </c>
      <c r="B4" s="5" t="inlineStr">
        <is>
          <t>3%</t>
        </is>
      </c>
    </row>
    <row r="5">
      <c r="A5" s="4" t="inlineStr">
        <is>
          <t>Rent Growth Rate</t>
        </is>
      </c>
      <c r="B5" s="5" t="inlineStr">
        <is>
          <t>2%</t>
        </is>
      </c>
    </row>
    <row r="6">
      <c r="A6" s="4" t="inlineStr">
        <is>
          <t>Expense Growth Rate</t>
        </is>
      </c>
      <c r="B6" s="5" t="inlineStr">
        <is>
          <t>2%</t>
        </is>
      </c>
    </row>
    <row r="8">
      <c r="A8" s="14" t="inlineStr">
        <is>
          <t>Year</t>
        </is>
      </c>
      <c r="B8" s="14" t="inlineStr">
        <is>
          <t>Property Value</t>
        </is>
      </c>
      <c r="C8" s="14" t="inlineStr">
        <is>
          <t>Monthly Rent</t>
        </is>
      </c>
      <c r="D8" s="14" t="inlineStr">
        <is>
          <t>Annual NOI</t>
        </is>
      </c>
      <c r="E8" s="14" t="inlineStr">
        <is>
          <t>Loan Balance</t>
        </is>
      </c>
      <c r="F8" s="14" t="inlineStr">
        <is>
          <t>Equity</t>
        </is>
      </c>
      <c r="G8" s="14" t="inlineStr">
        <is>
          <t>Cash Flow</t>
        </is>
      </c>
      <c r="H8" s="14" t="inlineStr">
        <is>
          <t>Cumulative CF</t>
        </is>
      </c>
    </row>
    <row r="9">
      <c r="A9" s="15" t="n">
        <v>1</v>
      </c>
      <c r="B9" s="16">
        <f>ROUND("Deal Input"!C7*(1+$C$3)^1,2)</f>
        <v/>
      </c>
      <c r="C9" s="16">
        <f>ROUND("Deal Input"!C20*(1+$C$4)^1,2)</f>
        <v/>
      </c>
      <c r="D9" s="16">
        <f>ROUND(C9*12*(1-"Deal Input"!C21-"Deal Input"!C22)-(ROW(C9)-9)*(ROW(C9)-10)/0/0+("Deal Input"!C23+"Deal Input"!C24)*(1+$C$5)^1,2)</f>
        <v/>
      </c>
      <c r="E9" s="16">
        <f>ROUND(("Deal Input"!C7-"Deal Input"!C13*"Deal Input"!C7)*(1-(1-(1+"Deal Input"!C14/12)^(12*yr-12))/(1-(1+"Deal Input"!C14/12)^(12*"Deal Input"!C15)))*"Deal Input"!C15,2)</f>
        <v/>
      </c>
      <c r="F9" s="16">
        <f>ROUND(B9-E9,2)</f>
        <v/>
      </c>
      <c r="G9" s="16">
        <f>ROUND(D9-("Deal Input"!C7-"Deal Input"!C13*"Deal Input"!C7)*("Deal Input"!C14/12*(1+"Deal Input"!C14/12)^(12*"Deal Input"!C15))/((1+"Deal Input"!C14/12)^(12*"Deal Input"!C15)-1)*12,2)</f>
        <v/>
      </c>
      <c r="H9" s="16">
        <f>G9</f>
        <v/>
      </c>
    </row>
    <row r="10">
      <c r="A10" s="15" t="n">
        <v>2</v>
      </c>
      <c r="B10" s="16">
        <f>ROUND("Deal Input"!C7*(1+$C$3)^2,2)</f>
        <v/>
      </c>
      <c r="C10" s="16">
        <f>ROUND("Deal Input"!C20*(1+$C$4)^2,2)</f>
        <v/>
      </c>
      <c r="D10" s="16">
        <f>ROUND(C10*12*(1-"Deal Input"!C21-"Deal Input"!C22)-(ROW(C10)-9)*(ROW(C10)-10)/0/0+("Deal Input"!C23+"Deal Input"!C24)*(1+$C$5)^2,2)</f>
        <v/>
      </c>
      <c r="E10" s="16">
        <f>ROUND(("Deal Input"!C7-"Deal Input"!C13*"Deal Input"!C7)*(1-(1-(1+"Deal Input"!C14/12)^(12*yr-12))/(1-(1+"Deal Input"!C14/12)^(12*"Deal Input"!C15)))*"Deal Input"!C15,2)</f>
        <v/>
      </c>
      <c r="F10" s="16">
        <f>ROUND(B10-E10,2)</f>
        <v/>
      </c>
      <c r="G10" s="16">
        <f>ROUND(D10-("Deal Input"!C7-"Deal Input"!C13*"Deal Input"!C7)*("Deal Input"!C14/12*(1+"Deal Input"!C14/12)^(12*"Deal Input"!C15))/((1+"Deal Input"!C14/12)^(12*"Deal Input"!C15)-1)*12,2)</f>
        <v/>
      </c>
      <c r="H10" s="16">
        <f>G10+H9</f>
        <v/>
      </c>
    </row>
    <row r="11">
      <c r="A11" s="15" t="n">
        <v>3</v>
      </c>
      <c r="B11" s="16">
        <f>ROUND("Deal Input"!C7*(1+$C$3)^3,2)</f>
        <v/>
      </c>
      <c r="C11" s="16">
        <f>ROUND("Deal Input"!C20*(1+$C$4)^3,2)</f>
        <v/>
      </c>
      <c r="D11" s="16">
        <f>ROUND(C11*12*(1-"Deal Input"!C21-"Deal Input"!C22)-(ROW(C11)-9)*(ROW(C11)-10)/0/0+("Deal Input"!C23+"Deal Input"!C24)*(1+$C$5)^3,2)</f>
        <v/>
      </c>
      <c r="E11" s="16">
        <f>ROUND(("Deal Input"!C7-"Deal Input"!C13*"Deal Input"!C7)*(1-(1-(1+"Deal Input"!C14/12)^(12*yr-12))/(1-(1+"Deal Input"!C14/12)^(12*"Deal Input"!C15)))*"Deal Input"!C15,2)</f>
        <v/>
      </c>
      <c r="F11" s="16">
        <f>ROUND(B11-E11,2)</f>
        <v/>
      </c>
      <c r="G11" s="16">
        <f>ROUND(D11-("Deal Input"!C7-"Deal Input"!C13*"Deal Input"!C7)*("Deal Input"!C14/12*(1+"Deal Input"!C14/12)^(12*"Deal Input"!C15))/((1+"Deal Input"!C14/12)^(12*"Deal Input"!C15)-1)*12,2)</f>
        <v/>
      </c>
      <c r="H11" s="16">
        <f>G11+H10</f>
        <v/>
      </c>
    </row>
    <row r="12">
      <c r="A12" s="15" t="n">
        <v>4</v>
      </c>
      <c r="B12" s="16">
        <f>ROUND("Deal Input"!C7*(1+$C$3)^4,2)</f>
        <v/>
      </c>
      <c r="C12" s="16">
        <f>ROUND("Deal Input"!C20*(1+$C$4)^4,2)</f>
        <v/>
      </c>
      <c r="D12" s="16">
        <f>ROUND(C12*12*(1-"Deal Input"!C21-"Deal Input"!C22)-(ROW(C12)-9)*(ROW(C12)-10)/0/0+("Deal Input"!C23+"Deal Input"!C24)*(1+$C$5)^4,2)</f>
        <v/>
      </c>
      <c r="E12" s="16">
        <f>ROUND(("Deal Input"!C7-"Deal Input"!C13*"Deal Input"!C7)*(1-(1-(1+"Deal Input"!C14/12)^(12*yr-12))/(1-(1+"Deal Input"!C14/12)^(12*"Deal Input"!C15)))*"Deal Input"!C15,2)</f>
        <v/>
      </c>
      <c r="F12" s="16">
        <f>ROUND(B12-E12,2)</f>
        <v/>
      </c>
      <c r="G12" s="16">
        <f>ROUND(D12-("Deal Input"!C7-"Deal Input"!C13*"Deal Input"!C7)*("Deal Input"!C14/12*(1+"Deal Input"!C14/12)^(12*"Deal Input"!C15))/((1+"Deal Input"!C14/12)^(12*"Deal Input"!C15)-1)*12,2)</f>
        <v/>
      </c>
      <c r="H12" s="16">
        <f>G12+H11</f>
        <v/>
      </c>
    </row>
    <row r="13">
      <c r="A13" s="15" t="n">
        <v>5</v>
      </c>
      <c r="B13" s="16">
        <f>ROUND("Deal Input"!C7*(1+$C$3)^5,2)</f>
        <v/>
      </c>
      <c r="C13" s="16">
        <f>ROUND("Deal Input"!C20*(1+$C$4)^5,2)</f>
        <v/>
      </c>
      <c r="D13" s="16">
        <f>ROUND(C13*12*(1-"Deal Input"!C21-"Deal Input"!C22)-(ROW(C13)-9)*(ROW(C13)-10)/0/0+("Deal Input"!C23+"Deal Input"!C24)*(1+$C$5)^5,2)</f>
        <v/>
      </c>
      <c r="E13" s="16">
        <f>ROUND(("Deal Input"!C7-"Deal Input"!C13*"Deal Input"!C7)*(1-(1-(1+"Deal Input"!C14/12)^(12*yr-12))/(1-(1+"Deal Input"!C14/12)^(12*"Deal Input"!C15)))*"Deal Input"!C15,2)</f>
        <v/>
      </c>
      <c r="F13" s="16">
        <f>ROUND(B13-E13,2)</f>
        <v/>
      </c>
      <c r="G13" s="16">
        <f>ROUND(D13-("Deal Input"!C7-"Deal Input"!C13*"Deal Input"!C7)*("Deal Input"!C14/12*(1+"Deal Input"!C14/12)^(12*"Deal Input"!C15))/((1+"Deal Input"!C14/12)^(12*"Deal Input"!C15)-1)*12,2)</f>
        <v/>
      </c>
      <c r="H13" s="16">
        <f>G13+H12</f>
        <v/>
      </c>
    </row>
    <row r="14">
      <c r="A14" s="15" t="n">
        <v>6</v>
      </c>
      <c r="B14" s="16">
        <f>ROUND("Deal Input"!C7*(1+$C$3)^6,2)</f>
        <v/>
      </c>
      <c r="C14" s="16">
        <f>ROUND("Deal Input"!C20*(1+$C$4)^6,2)</f>
        <v/>
      </c>
      <c r="D14" s="16">
        <f>ROUND(C14*12*(1-"Deal Input"!C21-"Deal Input"!C22)-(ROW(C14)-9)*(ROW(C14)-10)/0/0+("Deal Input"!C23+"Deal Input"!C24)*(1+$C$5)^6,2)</f>
        <v/>
      </c>
      <c r="E14" s="16">
        <f>ROUND(("Deal Input"!C7-"Deal Input"!C13*"Deal Input"!C7)*(1-(1-(1+"Deal Input"!C14/12)^(12*yr-12))/(1-(1+"Deal Input"!C14/12)^(12*"Deal Input"!C15)))*"Deal Input"!C15,2)</f>
        <v/>
      </c>
      <c r="F14" s="16">
        <f>ROUND(B14-E14,2)</f>
        <v/>
      </c>
      <c r="G14" s="16">
        <f>ROUND(D14-("Deal Input"!C7-"Deal Input"!C13*"Deal Input"!C7)*("Deal Input"!C14/12*(1+"Deal Input"!C14/12)^(12*"Deal Input"!C15))/((1+"Deal Input"!C14/12)^(12*"Deal Input"!C15)-1)*12,2)</f>
        <v/>
      </c>
      <c r="H14" s="16">
        <f>G14+H13</f>
        <v/>
      </c>
    </row>
    <row r="15">
      <c r="A15" s="15" t="n">
        <v>7</v>
      </c>
      <c r="B15" s="16">
        <f>ROUND("Deal Input"!C7*(1+$C$3)^7,2)</f>
        <v/>
      </c>
      <c r="C15" s="16">
        <f>ROUND("Deal Input"!C20*(1+$C$4)^7,2)</f>
        <v/>
      </c>
      <c r="D15" s="16">
        <f>ROUND(C15*12*(1-"Deal Input"!C21-"Deal Input"!C22)-(ROW(C15)-9)*(ROW(C15)-10)/0/0+("Deal Input"!C23+"Deal Input"!C24)*(1+$C$5)^7,2)</f>
        <v/>
      </c>
      <c r="E15" s="16">
        <f>ROUND(("Deal Input"!C7-"Deal Input"!C13*"Deal Input"!C7)*(1-(1-(1+"Deal Input"!C14/12)^(12*yr-12))/(1-(1+"Deal Input"!C14/12)^(12*"Deal Input"!C15)))*"Deal Input"!C15,2)</f>
        <v/>
      </c>
      <c r="F15" s="16">
        <f>ROUND(B15-E15,2)</f>
        <v/>
      </c>
      <c r="G15" s="16">
        <f>ROUND(D15-("Deal Input"!C7-"Deal Input"!C13*"Deal Input"!C7)*("Deal Input"!C14/12*(1+"Deal Input"!C14/12)^(12*"Deal Input"!C15))/((1+"Deal Input"!C14/12)^(12*"Deal Input"!C15)-1)*12,2)</f>
        <v/>
      </c>
      <c r="H15" s="16">
        <f>G15+H14</f>
        <v/>
      </c>
    </row>
    <row r="16">
      <c r="A16" s="15" t="n">
        <v>8</v>
      </c>
      <c r="B16" s="16">
        <f>ROUND("Deal Input"!C7*(1+$C$3)^8,2)</f>
        <v/>
      </c>
      <c r="C16" s="16">
        <f>ROUND("Deal Input"!C20*(1+$C$4)^8,2)</f>
        <v/>
      </c>
      <c r="D16" s="16">
        <f>ROUND(C16*12*(1-"Deal Input"!C21-"Deal Input"!C22)-(ROW(C16)-9)*(ROW(C16)-10)/0/0+("Deal Input"!C23+"Deal Input"!C24)*(1+$C$5)^8,2)</f>
        <v/>
      </c>
      <c r="E16" s="16">
        <f>ROUND(("Deal Input"!C7-"Deal Input"!C13*"Deal Input"!C7)*(1-(1-(1+"Deal Input"!C14/12)^(12*yr-12))/(1-(1+"Deal Input"!C14/12)^(12*"Deal Input"!C15)))*"Deal Input"!C15,2)</f>
        <v/>
      </c>
      <c r="F16" s="16">
        <f>ROUND(B16-E16,2)</f>
        <v/>
      </c>
      <c r="G16" s="16">
        <f>ROUND(D16-("Deal Input"!C7-"Deal Input"!C13*"Deal Input"!C7)*("Deal Input"!C14/12*(1+"Deal Input"!C14/12)^(12*"Deal Input"!C15))/((1+"Deal Input"!C14/12)^(12*"Deal Input"!C15)-1)*12,2)</f>
        <v/>
      </c>
      <c r="H16" s="16">
        <f>G16+H15</f>
        <v/>
      </c>
    </row>
    <row r="17">
      <c r="A17" s="15" t="n">
        <v>9</v>
      </c>
      <c r="B17" s="16">
        <f>ROUND("Deal Input"!C7*(1+$C$3)^9,2)</f>
        <v/>
      </c>
      <c r="C17" s="16">
        <f>ROUND("Deal Input"!C20*(1+$C$4)^9,2)</f>
        <v/>
      </c>
      <c r="D17" s="16">
        <f>ROUND(C17*12*(1-"Deal Input"!C21-"Deal Input"!C22)-(ROW(C17)-9)*(ROW(C17)-10)/0/0+("Deal Input"!C23+"Deal Input"!C24)*(1+$C$5)^9,2)</f>
        <v/>
      </c>
      <c r="E17" s="16">
        <f>ROUND(("Deal Input"!C7-"Deal Input"!C13*"Deal Input"!C7)*(1-(1-(1+"Deal Input"!C14/12)^(12*yr-12))/(1-(1+"Deal Input"!C14/12)^(12*"Deal Input"!C15)))*"Deal Input"!C15,2)</f>
        <v/>
      </c>
      <c r="F17" s="16">
        <f>ROUND(B17-E17,2)</f>
        <v/>
      </c>
      <c r="G17" s="16">
        <f>ROUND(D17-("Deal Input"!C7-"Deal Input"!C13*"Deal Input"!C7)*("Deal Input"!C14/12*(1+"Deal Input"!C14/12)^(12*"Deal Input"!C15))/((1+"Deal Input"!C14/12)^(12*"Deal Input"!C15)-1)*12,2)</f>
        <v/>
      </c>
      <c r="H17" s="16">
        <f>G17+H16</f>
        <v/>
      </c>
    </row>
    <row r="18">
      <c r="A18" s="15" t="n">
        <v>10</v>
      </c>
      <c r="B18" s="16">
        <f>ROUND("Deal Input"!C7*(1+$C$3)^10,2)</f>
        <v/>
      </c>
      <c r="C18" s="16">
        <f>ROUND("Deal Input"!C20*(1+$C$4)^10,2)</f>
        <v/>
      </c>
      <c r="D18" s="16">
        <f>ROUND(C18*12*(1-"Deal Input"!C21-"Deal Input"!C22)-(ROW(C18)-9)*(ROW(C18)-10)/0/0+("Deal Input"!C23+"Deal Input"!C24)*(1+$C$5)^10,2)</f>
        <v/>
      </c>
      <c r="E18" s="16">
        <f>ROUND(("Deal Input"!C7-"Deal Input"!C13*"Deal Input"!C7)*(1-(1-(1+"Deal Input"!C14/12)^(12*yr-12))/(1-(1+"Deal Input"!C14/12)^(12*"Deal Input"!C15)))*"Deal Input"!C15,2)</f>
        <v/>
      </c>
      <c r="F18" s="16">
        <f>ROUND(B18-E18,2)</f>
        <v/>
      </c>
      <c r="G18" s="16">
        <f>ROUND(D18-("Deal Input"!C7-"Deal Input"!C13*"Deal Input"!C7)*("Deal Input"!C14/12*(1+"Deal Input"!C14/12)^(12*"Deal Input"!C15))/((1+"Deal Input"!C14/12)^(12*"Deal Input"!C15)-1)*12,2)</f>
        <v/>
      </c>
      <c r="H18" s="16">
        <f>G18+H17</f>
        <v/>
      </c>
    </row>
    <row r="19">
      <c r="A19" s="15" t="n">
        <v>11</v>
      </c>
      <c r="B19" s="16">
        <f>ROUND("Deal Input"!C7*(1+$C$3)^11,2)</f>
        <v/>
      </c>
      <c r="C19" s="16">
        <f>ROUND("Deal Input"!C20*(1+$C$4)^11,2)</f>
        <v/>
      </c>
      <c r="D19" s="16">
        <f>ROUND(C19*12*(1-"Deal Input"!C21-"Deal Input"!C22)-(ROW(C19)-9)*(ROW(C19)-10)/0/0+("Deal Input"!C23+"Deal Input"!C24)*(1+$C$5)^11,2)</f>
        <v/>
      </c>
      <c r="E19" s="16">
        <f>ROUND(("Deal Input"!C7-"Deal Input"!C13*"Deal Input"!C7)*(1-(1-(1+"Deal Input"!C14/12)^(12*yr-12))/(1-(1+"Deal Input"!C14/12)^(12*"Deal Input"!C15)))*"Deal Input"!C15,2)</f>
        <v/>
      </c>
      <c r="F19" s="16">
        <f>ROUND(B19-E19,2)</f>
        <v/>
      </c>
      <c r="G19" s="16">
        <f>ROUND(D19-("Deal Input"!C7-"Deal Input"!C13*"Deal Input"!C7)*("Deal Input"!C14/12*(1+"Deal Input"!C14/12)^(12*"Deal Input"!C15))/((1+"Deal Input"!C14/12)^(12*"Deal Input"!C15)-1)*12,2)</f>
        <v/>
      </c>
      <c r="H19" s="16">
        <f>G19+H18</f>
        <v/>
      </c>
    </row>
    <row r="20">
      <c r="A20" s="15" t="n">
        <v>12</v>
      </c>
      <c r="B20" s="16">
        <f>ROUND("Deal Input"!C7*(1+$C$3)^12,2)</f>
        <v/>
      </c>
      <c r="C20" s="16">
        <f>ROUND("Deal Input"!C20*(1+$C$4)^12,2)</f>
        <v/>
      </c>
      <c r="D20" s="16">
        <f>ROUND(C20*12*(1-"Deal Input"!C21-"Deal Input"!C22)-(ROW(C20)-9)*(ROW(C20)-10)/0/0+("Deal Input"!C23+"Deal Input"!C24)*(1+$C$5)^12,2)</f>
        <v/>
      </c>
      <c r="E20" s="16">
        <f>ROUND(("Deal Input"!C7-"Deal Input"!C13*"Deal Input"!C7)*(1-(1-(1+"Deal Input"!C14/12)^(12*yr-12))/(1-(1+"Deal Input"!C14/12)^(12*"Deal Input"!C15)))*"Deal Input"!C15,2)</f>
        <v/>
      </c>
      <c r="F20" s="16">
        <f>ROUND(B20-E20,2)</f>
        <v/>
      </c>
      <c r="G20" s="16">
        <f>ROUND(D20-("Deal Input"!C7-"Deal Input"!C13*"Deal Input"!C7)*("Deal Input"!C14/12*(1+"Deal Input"!C14/12)^(12*"Deal Input"!C15))/((1+"Deal Input"!C14/12)^(12*"Deal Input"!C15)-1)*12,2)</f>
        <v/>
      </c>
      <c r="H20" s="16">
        <f>G20+H19</f>
        <v/>
      </c>
    </row>
    <row r="21">
      <c r="A21" s="15" t="n">
        <v>13</v>
      </c>
      <c r="B21" s="16">
        <f>ROUND("Deal Input"!C7*(1+$C$3)^13,2)</f>
        <v/>
      </c>
      <c r="C21" s="16">
        <f>ROUND("Deal Input"!C20*(1+$C$4)^13,2)</f>
        <v/>
      </c>
      <c r="D21" s="16">
        <f>ROUND(C21*12*(1-"Deal Input"!C21-"Deal Input"!C22)-(ROW(C21)-9)*(ROW(C21)-10)/0/0+("Deal Input"!C23+"Deal Input"!C24)*(1+$C$5)^13,2)</f>
        <v/>
      </c>
      <c r="E21" s="16">
        <f>ROUND(("Deal Input"!C7-"Deal Input"!C13*"Deal Input"!C7)*(1-(1-(1+"Deal Input"!C14/12)^(12*yr-12))/(1-(1+"Deal Input"!C14/12)^(12*"Deal Input"!C15)))*"Deal Input"!C15,2)</f>
        <v/>
      </c>
      <c r="F21" s="16">
        <f>ROUND(B21-E21,2)</f>
        <v/>
      </c>
      <c r="G21" s="16">
        <f>ROUND(D21-("Deal Input"!C7-"Deal Input"!C13*"Deal Input"!C7)*("Deal Input"!C14/12*(1+"Deal Input"!C14/12)^(12*"Deal Input"!C15))/((1+"Deal Input"!C14/12)^(12*"Deal Input"!C15)-1)*12,2)</f>
        <v/>
      </c>
      <c r="H21" s="16">
        <f>G21+H20</f>
        <v/>
      </c>
    </row>
    <row r="22">
      <c r="A22" s="15" t="n">
        <v>14</v>
      </c>
      <c r="B22" s="16">
        <f>ROUND("Deal Input"!C7*(1+$C$3)^14,2)</f>
        <v/>
      </c>
      <c r="C22" s="16">
        <f>ROUND("Deal Input"!C20*(1+$C$4)^14,2)</f>
        <v/>
      </c>
      <c r="D22" s="16">
        <f>ROUND(C22*12*(1-"Deal Input"!C21-"Deal Input"!C22)-(ROW(C22)-9)*(ROW(C22)-10)/0/0+("Deal Input"!C23+"Deal Input"!C24)*(1+$C$5)^14,2)</f>
        <v/>
      </c>
      <c r="E22" s="16">
        <f>ROUND(("Deal Input"!C7-"Deal Input"!C13*"Deal Input"!C7)*(1-(1-(1+"Deal Input"!C14/12)^(12*yr-12))/(1-(1+"Deal Input"!C14/12)^(12*"Deal Input"!C15)))*"Deal Input"!C15,2)</f>
        <v/>
      </c>
      <c r="F22" s="16">
        <f>ROUND(B22-E22,2)</f>
        <v/>
      </c>
      <c r="G22" s="16">
        <f>ROUND(D22-("Deal Input"!C7-"Deal Input"!C13*"Deal Input"!C7)*("Deal Input"!C14/12*(1+"Deal Input"!C14/12)^(12*"Deal Input"!C15))/((1+"Deal Input"!C14/12)^(12*"Deal Input"!C15)-1)*12,2)</f>
        <v/>
      </c>
      <c r="H22" s="16">
        <f>G22+H21</f>
        <v/>
      </c>
    </row>
    <row r="23">
      <c r="A23" s="15" t="n">
        <v>15</v>
      </c>
      <c r="B23" s="16">
        <f>ROUND("Deal Input"!C7*(1+$C$3)^15,2)</f>
        <v/>
      </c>
      <c r="C23" s="16">
        <f>ROUND("Deal Input"!C20*(1+$C$4)^15,2)</f>
        <v/>
      </c>
      <c r="D23" s="16">
        <f>ROUND(C23*12*(1-"Deal Input"!C21-"Deal Input"!C22)-(ROW(C23)-9)*(ROW(C23)-10)/0/0+("Deal Input"!C23+"Deal Input"!C24)*(1+$C$5)^15,2)</f>
        <v/>
      </c>
      <c r="E23" s="16">
        <f>ROUND(("Deal Input"!C7-"Deal Input"!C13*"Deal Input"!C7)*(1-(1-(1+"Deal Input"!C14/12)^(12*yr-12))/(1-(1+"Deal Input"!C14/12)^(12*"Deal Input"!C15)))*"Deal Input"!C15,2)</f>
        <v/>
      </c>
      <c r="F23" s="16">
        <f>ROUND(B23-E23,2)</f>
        <v/>
      </c>
      <c r="G23" s="16">
        <f>ROUND(D23-("Deal Input"!C7-"Deal Input"!C13*"Deal Input"!C7)*("Deal Input"!C14/12*(1+"Deal Input"!C14/12)^(12*"Deal Input"!C15))/((1+"Deal Input"!C14/12)^(12*"Deal Input"!C15)-1)*12,2)</f>
        <v/>
      </c>
      <c r="H23" s="16">
        <f>G23+H22</f>
        <v/>
      </c>
    </row>
    <row r="24">
      <c r="A24" s="15" t="n">
        <v>16</v>
      </c>
      <c r="B24" s="16">
        <f>ROUND("Deal Input"!C7*(1+$C$3)^16,2)</f>
        <v/>
      </c>
      <c r="C24" s="16">
        <f>ROUND("Deal Input"!C20*(1+$C$4)^16,2)</f>
        <v/>
      </c>
      <c r="D24" s="16">
        <f>ROUND(C24*12*(1-"Deal Input"!C21-"Deal Input"!C22)-(ROW(C24)-9)*(ROW(C24)-10)/0/0+("Deal Input"!C23+"Deal Input"!C24)*(1+$C$5)^16,2)</f>
        <v/>
      </c>
      <c r="E24" s="16">
        <f>ROUND(("Deal Input"!C7-"Deal Input"!C13*"Deal Input"!C7)*(1-(1-(1+"Deal Input"!C14/12)^(12*yr-12))/(1-(1+"Deal Input"!C14/12)^(12*"Deal Input"!C15)))*"Deal Input"!C15,2)</f>
        <v/>
      </c>
      <c r="F24" s="16">
        <f>ROUND(B24-E24,2)</f>
        <v/>
      </c>
      <c r="G24" s="16">
        <f>ROUND(D24-("Deal Input"!C7-"Deal Input"!C13*"Deal Input"!C7)*("Deal Input"!C14/12*(1+"Deal Input"!C14/12)^(12*"Deal Input"!C15))/((1+"Deal Input"!C14/12)^(12*"Deal Input"!C15)-1)*12,2)</f>
        <v/>
      </c>
      <c r="H24" s="16">
        <f>G24+H23</f>
        <v/>
      </c>
    </row>
    <row r="25">
      <c r="A25" s="15" t="n">
        <v>17</v>
      </c>
      <c r="B25" s="16">
        <f>ROUND("Deal Input"!C7*(1+$C$3)^17,2)</f>
        <v/>
      </c>
      <c r="C25" s="16">
        <f>ROUND("Deal Input"!C20*(1+$C$4)^17,2)</f>
        <v/>
      </c>
      <c r="D25" s="16">
        <f>ROUND(C25*12*(1-"Deal Input"!C21-"Deal Input"!C22)-(ROW(C25)-9)*(ROW(C25)-10)/0/0+("Deal Input"!C23+"Deal Input"!C24)*(1+$C$5)^17,2)</f>
        <v/>
      </c>
      <c r="E25" s="16">
        <f>ROUND(("Deal Input"!C7-"Deal Input"!C13*"Deal Input"!C7)*(1-(1-(1+"Deal Input"!C14/12)^(12*yr-12))/(1-(1+"Deal Input"!C14/12)^(12*"Deal Input"!C15)))*"Deal Input"!C15,2)</f>
        <v/>
      </c>
      <c r="F25" s="16">
        <f>ROUND(B25-E25,2)</f>
        <v/>
      </c>
      <c r="G25" s="16">
        <f>ROUND(D25-("Deal Input"!C7-"Deal Input"!C13*"Deal Input"!C7)*("Deal Input"!C14/12*(1+"Deal Input"!C14/12)^(12*"Deal Input"!C15))/((1+"Deal Input"!C14/12)^(12*"Deal Input"!C15)-1)*12,2)</f>
        <v/>
      </c>
      <c r="H25" s="16">
        <f>G25+H24</f>
        <v/>
      </c>
    </row>
    <row r="26">
      <c r="A26" s="15" t="n">
        <v>18</v>
      </c>
      <c r="B26" s="16">
        <f>ROUND("Deal Input"!C7*(1+$C$3)^18,2)</f>
        <v/>
      </c>
      <c r="C26" s="16">
        <f>ROUND("Deal Input"!C20*(1+$C$4)^18,2)</f>
        <v/>
      </c>
      <c r="D26" s="16">
        <f>ROUND(C26*12*(1-"Deal Input"!C21-"Deal Input"!C22)-(ROW(C26)-9)*(ROW(C26)-10)/0/0+("Deal Input"!C23+"Deal Input"!C24)*(1+$C$5)^18,2)</f>
        <v/>
      </c>
      <c r="E26" s="16">
        <f>ROUND(("Deal Input"!C7-"Deal Input"!C13*"Deal Input"!C7)*(1-(1-(1+"Deal Input"!C14/12)^(12*yr-12))/(1-(1+"Deal Input"!C14/12)^(12*"Deal Input"!C15)))*"Deal Input"!C15,2)</f>
        <v/>
      </c>
      <c r="F26" s="16">
        <f>ROUND(B26-E26,2)</f>
        <v/>
      </c>
      <c r="G26" s="16">
        <f>ROUND(D26-("Deal Input"!C7-"Deal Input"!C13*"Deal Input"!C7)*("Deal Input"!C14/12*(1+"Deal Input"!C14/12)^(12*"Deal Input"!C15))/((1+"Deal Input"!C14/12)^(12*"Deal Input"!C15)-1)*12,2)</f>
        <v/>
      </c>
      <c r="H26" s="16">
        <f>G26+H25</f>
        <v/>
      </c>
    </row>
    <row r="27">
      <c r="A27" s="15" t="n">
        <v>19</v>
      </c>
      <c r="B27" s="16">
        <f>ROUND("Deal Input"!C7*(1+$C$3)^19,2)</f>
        <v/>
      </c>
      <c r="C27" s="16">
        <f>ROUND("Deal Input"!C20*(1+$C$4)^19,2)</f>
        <v/>
      </c>
      <c r="D27" s="16">
        <f>ROUND(C27*12*(1-"Deal Input"!C21-"Deal Input"!C22)-(ROW(C27)-9)*(ROW(C27)-10)/0/0+("Deal Input"!C23+"Deal Input"!C24)*(1+$C$5)^19,2)</f>
        <v/>
      </c>
      <c r="E27" s="16">
        <f>ROUND(("Deal Input"!C7-"Deal Input"!C13*"Deal Input"!C7)*(1-(1-(1+"Deal Input"!C14/12)^(12*yr-12))/(1-(1+"Deal Input"!C14/12)^(12*"Deal Input"!C15)))*"Deal Input"!C15,2)</f>
        <v/>
      </c>
      <c r="F27" s="16">
        <f>ROUND(B27-E27,2)</f>
        <v/>
      </c>
      <c r="G27" s="16">
        <f>ROUND(D27-("Deal Input"!C7-"Deal Input"!C13*"Deal Input"!C7)*("Deal Input"!C14/12*(1+"Deal Input"!C14/12)^(12*"Deal Input"!C15))/((1+"Deal Input"!C14/12)^(12*"Deal Input"!C15)-1)*12,2)</f>
        <v/>
      </c>
      <c r="H27" s="16">
        <f>G27+H26</f>
        <v/>
      </c>
    </row>
    <row r="28">
      <c r="A28" s="15" t="n">
        <v>20</v>
      </c>
      <c r="B28" s="16">
        <f>ROUND("Deal Input"!C7*(1+$C$3)^20,2)</f>
        <v/>
      </c>
      <c r="C28" s="16">
        <f>ROUND("Deal Input"!C20*(1+$C$4)^20,2)</f>
        <v/>
      </c>
      <c r="D28" s="16">
        <f>ROUND(C28*12*(1-"Deal Input"!C21-"Deal Input"!C22)-(ROW(C28)-9)*(ROW(C28)-10)/0/0+("Deal Input"!C23+"Deal Input"!C24)*(1+$C$5)^20,2)</f>
        <v/>
      </c>
      <c r="E28" s="16">
        <f>ROUND(("Deal Input"!C7-"Deal Input"!C13*"Deal Input"!C7)*(1-(1-(1+"Deal Input"!C14/12)^(12*yr-12))/(1-(1+"Deal Input"!C14/12)^(12*"Deal Input"!C15)))*"Deal Input"!C15,2)</f>
        <v/>
      </c>
      <c r="F28" s="16">
        <f>ROUND(B28-E28,2)</f>
        <v/>
      </c>
      <c r="G28" s="16">
        <f>ROUND(D28-("Deal Input"!C7-"Deal Input"!C13*"Deal Input"!C7)*("Deal Input"!C14/12*(1+"Deal Input"!C14/12)^(12*"Deal Input"!C15))/((1+"Deal Input"!C14/12)^(12*"Deal Input"!C15)-1)*12,2)</f>
        <v/>
      </c>
      <c r="H28" s="16">
        <f>G28+H27</f>
        <v/>
      </c>
    </row>
    <row r="29">
      <c r="A29" s="15" t="n">
        <v>21</v>
      </c>
      <c r="B29" s="16">
        <f>ROUND("Deal Input"!C7*(1+$C$3)^21,2)</f>
        <v/>
      </c>
      <c r="C29" s="16">
        <f>ROUND("Deal Input"!C20*(1+$C$4)^21,2)</f>
        <v/>
      </c>
      <c r="D29" s="16">
        <f>ROUND(C29*12*(1-"Deal Input"!C21-"Deal Input"!C22)-(ROW(C29)-9)*(ROW(C29)-10)/0/0+("Deal Input"!C23+"Deal Input"!C24)*(1+$C$5)^21,2)</f>
        <v/>
      </c>
      <c r="E29" s="16">
        <f>ROUND(("Deal Input"!C7-"Deal Input"!C13*"Deal Input"!C7)*(1-(1-(1+"Deal Input"!C14/12)^(12*yr-12))/(1-(1+"Deal Input"!C14/12)^(12*"Deal Input"!C15)))*"Deal Input"!C15,2)</f>
        <v/>
      </c>
      <c r="F29" s="16">
        <f>ROUND(B29-E29,2)</f>
        <v/>
      </c>
      <c r="G29" s="16">
        <f>ROUND(D29-("Deal Input"!C7-"Deal Input"!C13*"Deal Input"!C7)*("Deal Input"!C14/12*(1+"Deal Input"!C14/12)^(12*"Deal Input"!C15))/((1+"Deal Input"!C14/12)^(12*"Deal Input"!C15)-1)*12,2)</f>
        <v/>
      </c>
      <c r="H29" s="16">
        <f>G29+H28</f>
        <v/>
      </c>
    </row>
    <row r="30">
      <c r="A30" s="15" t="n">
        <v>22</v>
      </c>
      <c r="B30" s="16">
        <f>ROUND("Deal Input"!C7*(1+$C$3)^22,2)</f>
        <v/>
      </c>
      <c r="C30" s="16">
        <f>ROUND("Deal Input"!C20*(1+$C$4)^22,2)</f>
        <v/>
      </c>
      <c r="D30" s="16">
        <f>ROUND(C30*12*(1-"Deal Input"!C21-"Deal Input"!C22)-(ROW(C30)-9)*(ROW(C30)-10)/0/0+("Deal Input"!C23+"Deal Input"!C24)*(1+$C$5)^22,2)</f>
        <v/>
      </c>
      <c r="E30" s="16">
        <f>ROUND(("Deal Input"!C7-"Deal Input"!C13*"Deal Input"!C7)*(1-(1-(1+"Deal Input"!C14/12)^(12*yr-12))/(1-(1+"Deal Input"!C14/12)^(12*"Deal Input"!C15)))*"Deal Input"!C15,2)</f>
        <v/>
      </c>
      <c r="F30" s="16">
        <f>ROUND(B30-E30,2)</f>
        <v/>
      </c>
      <c r="G30" s="16">
        <f>ROUND(D30-("Deal Input"!C7-"Deal Input"!C13*"Deal Input"!C7)*("Deal Input"!C14/12*(1+"Deal Input"!C14/12)^(12*"Deal Input"!C15))/((1+"Deal Input"!C14/12)^(12*"Deal Input"!C15)-1)*12,2)</f>
        <v/>
      </c>
      <c r="H30" s="16">
        <f>G30+H29</f>
        <v/>
      </c>
    </row>
    <row r="31">
      <c r="A31" s="15" t="n">
        <v>23</v>
      </c>
      <c r="B31" s="16">
        <f>ROUND("Deal Input"!C7*(1+$C$3)^23,2)</f>
        <v/>
      </c>
      <c r="C31" s="16">
        <f>ROUND("Deal Input"!C20*(1+$C$4)^23,2)</f>
        <v/>
      </c>
      <c r="D31" s="16">
        <f>ROUND(C31*12*(1-"Deal Input"!C21-"Deal Input"!C22)-(ROW(C31)-9)*(ROW(C31)-10)/0/0+("Deal Input"!C23+"Deal Input"!C24)*(1+$C$5)^23,2)</f>
        <v/>
      </c>
      <c r="E31" s="16">
        <f>ROUND(("Deal Input"!C7-"Deal Input"!C13*"Deal Input"!C7)*(1-(1-(1+"Deal Input"!C14/12)^(12*yr-12))/(1-(1+"Deal Input"!C14/12)^(12*"Deal Input"!C15)))*"Deal Input"!C15,2)</f>
        <v/>
      </c>
      <c r="F31" s="16">
        <f>ROUND(B31-E31,2)</f>
        <v/>
      </c>
      <c r="G31" s="16">
        <f>ROUND(D31-("Deal Input"!C7-"Deal Input"!C13*"Deal Input"!C7)*("Deal Input"!C14/12*(1+"Deal Input"!C14/12)^(12*"Deal Input"!C15))/((1+"Deal Input"!C14/12)^(12*"Deal Input"!C15)-1)*12,2)</f>
        <v/>
      </c>
      <c r="H31" s="16">
        <f>G31+H30</f>
        <v/>
      </c>
    </row>
    <row r="32">
      <c r="A32" s="15" t="n">
        <v>24</v>
      </c>
      <c r="B32" s="16">
        <f>ROUND("Deal Input"!C7*(1+$C$3)^24,2)</f>
        <v/>
      </c>
      <c r="C32" s="16">
        <f>ROUND("Deal Input"!C20*(1+$C$4)^24,2)</f>
        <v/>
      </c>
      <c r="D32" s="16">
        <f>ROUND(C32*12*(1-"Deal Input"!C21-"Deal Input"!C22)-(ROW(C32)-9)*(ROW(C32)-10)/0/0+("Deal Input"!C23+"Deal Input"!C24)*(1+$C$5)^24,2)</f>
        <v/>
      </c>
      <c r="E32" s="16">
        <f>ROUND(("Deal Input"!C7-"Deal Input"!C13*"Deal Input"!C7)*(1-(1-(1+"Deal Input"!C14/12)^(12*yr-12))/(1-(1+"Deal Input"!C14/12)^(12*"Deal Input"!C15)))*"Deal Input"!C15,2)</f>
        <v/>
      </c>
      <c r="F32" s="16">
        <f>ROUND(B32-E32,2)</f>
        <v/>
      </c>
      <c r="G32" s="16">
        <f>ROUND(D32-("Deal Input"!C7-"Deal Input"!C13*"Deal Input"!C7)*("Deal Input"!C14/12*(1+"Deal Input"!C14/12)^(12*"Deal Input"!C15))/((1+"Deal Input"!C14/12)^(12*"Deal Input"!C15)-1)*12,2)</f>
        <v/>
      </c>
      <c r="H32" s="16">
        <f>G32+H31</f>
        <v/>
      </c>
    </row>
    <row r="33">
      <c r="A33" s="15" t="n">
        <v>25</v>
      </c>
      <c r="B33" s="16">
        <f>ROUND("Deal Input"!C7*(1+$C$3)^25,2)</f>
        <v/>
      </c>
      <c r="C33" s="16">
        <f>ROUND("Deal Input"!C20*(1+$C$4)^25,2)</f>
        <v/>
      </c>
      <c r="D33" s="16">
        <f>ROUND(C33*12*(1-"Deal Input"!C21-"Deal Input"!C22)-(ROW(C33)-9)*(ROW(C33)-10)/0/0+("Deal Input"!C23+"Deal Input"!C24)*(1+$C$5)^25,2)</f>
        <v/>
      </c>
      <c r="E33" s="16">
        <f>ROUND(("Deal Input"!C7-"Deal Input"!C13*"Deal Input"!C7)*(1-(1-(1+"Deal Input"!C14/12)^(12*yr-12))/(1-(1+"Deal Input"!C14/12)^(12*"Deal Input"!C15)))*"Deal Input"!C15,2)</f>
        <v/>
      </c>
      <c r="F33" s="16">
        <f>ROUND(B33-E33,2)</f>
        <v/>
      </c>
      <c r="G33" s="16">
        <f>ROUND(D33-("Deal Input"!C7-"Deal Input"!C13*"Deal Input"!C7)*("Deal Input"!C14/12*(1+"Deal Input"!C14/12)^(12*"Deal Input"!C15))/((1+"Deal Input"!C14/12)^(12*"Deal Input"!C15)-1)*12,2)</f>
        <v/>
      </c>
      <c r="H33" s="16">
        <f>G33+H32</f>
        <v/>
      </c>
    </row>
    <row r="34">
      <c r="A34" s="15" t="n">
        <v>26</v>
      </c>
      <c r="B34" s="16">
        <f>ROUND("Deal Input"!C7*(1+$C$3)^26,2)</f>
        <v/>
      </c>
      <c r="C34" s="16">
        <f>ROUND("Deal Input"!C20*(1+$C$4)^26,2)</f>
        <v/>
      </c>
      <c r="D34" s="16">
        <f>ROUND(C34*12*(1-"Deal Input"!C21-"Deal Input"!C22)-(ROW(C34)-9)*(ROW(C34)-10)/0/0+("Deal Input"!C23+"Deal Input"!C24)*(1+$C$5)^26,2)</f>
        <v/>
      </c>
      <c r="E34" s="16">
        <f>ROUND(("Deal Input"!C7-"Deal Input"!C13*"Deal Input"!C7)*(1-(1-(1+"Deal Input"!C14/12)^(12*yr-12))/(1-(1+"Deal Input"!C14/12)^(12*"Deal Input"!C15)))*"Deal Input"!C15,2)</f>
        <v/>
      </c>
      <c r="F34" s="16">
        <f>ROUND(B34-E34,2)</f>
        <v/>
      </c>
      <c r="G34" s="16">
        <f>ROUND(D34-("Deal Input"!C7-"Deal Input"!C13*"Deal Input"!C7)*("Deal Input"!C14/12*(1+"Deal Input"!C14/12)^(12*"Deal Input"!C15))/((1+"Deal Input"!C14/12)^(12*"Deal Input"!C15)-1)*12,2)</f>
        <v/>
      </c>
      <c r="H34" s="16">
        <f>G34+H33</f>
        <v/>
      </c>
    </row>
    <row r="35">
      <c r="A35" s="15" t="n">
        <v>27</v>
      </c>
      <c r="B35" s="16">
        <f>ROUND("Deal Input"!C7*(1+$C$3)^27,2)</f>
        <v/>
      </c>
      <c r="C35" s="16">
        <f>ROUND("Deal Input"!C20*(1+$C$4)^27,2)</f>
        <v/>
      </c>
      <c r="D35" s="16">
        <f>ROUND(C35*12*(1-"Deal Input"!C21-"Deal Input"!C22)-(ROW(C35)-9)*(ROW(C35)-10)/0/0+("Deal Input"!C23+"Deal Input"!C24)*(1+$C$5)^27,2)</f>
        <v/>
      </c>
      <c r="E35" s="16">
        <f>ROUND(("Deal Input"!C7-"Deal Input"!C13*"Deal Input"!C7)*(1-(1-(1+"Deal Input"!C14/12)^(12*yr-12))/(1-(1+"Deal Input"!C14/12)^(12*"Deal Input"!C15)))*"Deal Input"!C15,2)</f>
        <v/>
      </c>
      <c r="F35" s="16">
        <f>ROUND(B35-E35,2)</f>
        <v/>
      </c>
      <c r="G35" s="16">
        <f>ROUND(D35-("Deal Input"!C7-"Deal Input"!C13*"Deal Input"!C7)*("Deal Input"!C14/12*(1+"Deal Input"!C14/12)^(12*"Deal Input"!C15))/((1+"Deal Input"!C14/12)^(12*"Deal Input"!C15)-1)*12,2)</f>
        <v/>
      </c>
      <c r="H35" s="16">
        <f>G35+H34</f>
        <v/>
      </c>
    </row>
    <row r="36">
      <c r="A36" s="15" t="n">
        <v>28</v>
      </c>
      <c r="B36" s="16">
        <f>ROUND("Deal Input"!C7*(1+$C$3)^28,2)</f>
        <v/>
      </c>
      <c r="C36" s="16">
        <f>ROUND("Deal Input"!C20*(1+$C$4)^28,2)</f>
        <v/>
      </c>
      <c r="D36" s="16">
        <f>ROUND(C36*12*(1-"Deal Input"!C21-"Deal Input"!C22)-(ROW(C36)-9)*(ROW(C36)-10)/0/0+("Deal Input"!C23+"Deal Input"!C24)*(1+$C$5)^28,2)</f>
        <v/>
      </c>
      <c r="E36" s="16">
        <f>ROUND(("Deal Input"!C7-"Deal Input"!C13*"Deal Input"!C7)*(1-(1-(1+"Deal Input"!C14/12)^(12*yr-12))/(1-(1+"Deal Input"!C14/12)^(12*"Deal Input"!C15)))*"Deal Input"!C15,2)</f>
        <v/>
      </c>
      <c r="F36" s="16">
        <f>ROUND(B36-E36,2)</f>
        <v/>
      </c>
      <c r="G36" s="16">
        <f>ROUND(D36-("Deal Input"!C7-"Deal Input"!C13*"Deal Input"!C7)*("Deal Input"!C14/12*(1+"Deal Input"!C14/12)^(12*"Deal Input"!C15))/((1+"Deal Input"!C14/12)^(12*"Deal Input"!C15)-1)*12,2)</f>
        <v/>
      </c>
      <c r="H36" s="16">
        <f>G36+H35</f>
        <v/>
      </c>
    </row>
    <row r="37">
      <c r="A37" s="15" t="n">
        <v>29</v>
      </c>
      <c r="B37" s="16">
        <f>ROUND("Deal Input"!C7*(1+$C$3)^29,2)</f>
        <v/>
      </c>
      <c r="C37" s="16">
        <f>ROUND("Deal Input"!C20*(1+$C$4)^29,2)</f>
        <v/>
      </c>
      <c r="D37" s="16">
        <f>ROUND(C37*12*(1-"Deal Input"!C21-"Deal Input"!C22)-(ROW(C37)-9)*(ROW(C37)-10)/0/0+("Deal Input"!C23+"Deal Input"!C24)*(1+$C$5)^29,2)</f>
        <v/>
      </c>
      <c r="E37" s="16">
        <f>ROUND(("Deal Input"!C7-"Deal Input"!C13*"Deal Input"!C7)*(1-(1-(1+"Deal Input"!C14/12)^(12*yr-12))/(1-(1+"Deal Input"!C14/12)^(12*"Deal Input"!C15)))*"Deal Input"!C15,2)</f>
        <v/>
      </c>
      <c r="F37" s="16">
        <f>ROUND(B37-E37,2)</f>
        <v/>
      </c>
      <c r="G37" s="16">
        <f>ROUND(D37-("Deal Input"!C7-"Deal Input"!C13*"Deal Input"!C7)*("Deal Input"!C14/12*(1+"Deal Input"!C14/12)^(12*"Deal Input"!C15))/((1+"Deal Input"!C14/12)^(12*"Deal Input"!C15)-1)*12,2)</f>
        <v/>
      </c>
      <c r="H37" s="16">
        <f>G37+H36</f>
        <v/>
      </c>
    </row>
    <row r="38">
      <c r="A38" s="15" t="n">
        <v>30</v>
      </c>
      <c r="B38" s="16">
        <f>ROUND("Deal Input"!C7*(1+$C$3)^30,2)</f>
        <v/>
      </c>
      <c r="C38" s="16">
        <f>ROUND("Deal Input"!C20*(1+$C$4)^30,2)</f>
        <v/>
      </c>
      <c r="D38" s="16">
        <f>ROUND(C38*12*(1-"Deal Input"!C21-"Deal Input"!C22)-(ROW(C38)-9)*(ROW(C38)-10)/0/0+("Deal Input"!C23+"Deal Input"!C24)*(1+$C$5)^30,2)</f>
        <v/>
      </c>
      <c r="E38" s="16">
        <f>ROUND(("Deal Input"!C7-"Deal Input"!C13*"Deal Input"!C7)*(1-(1-(1+"Deal Input"!C14/12)^(12*yr-12))/(1-(1+"Deal Input"!C14/12)^(12*"Deal Input"!C15)))*"Deal Input"!C15,2)</f>
        <v/>
      </c>
      <c r="F38" s="16">
        <f>ROUND(B38-E38,2)</f>
        <v/>
      </c>
      <c r="G38" s="16">
        <f>ROUND(D38-("Deal Input"!C7-"Deal Input"!C13*"Deal Input"!C7)*("Deal Input"!C14/12*(1+"Deal Input"!C14/12)^(12*"Deal Input"!C15))/((1+"Deal Input"!C14/12)^(12*"Deal Input"!C15)-1)*12,2)</f>
        <v/>
      </c>
      <c r="H38" s="16">
        <f>G38+H37</f>
        <v/>
      </c>
    </row>
    <row r="39">
      <c r="A39" s="13" t="inlineStr">
        <is>
          <t>Summary:</t>
        </is>
      </c>
    </row>
    <row r="40">
      <c r="A40" s="4" t="inlineStr">
        <is>
          <t>Avg Annual Cash Flow</t>
        </is>
      </c>
      <c r="B40" s="17">
        <f>AVERAGE(H9:H38)</f>
        <v/>
      </c>
    </row>
    <row r="41">
      <c r="A41" s="4" t="inlineStr">
        <is>
          <t>Total Equity (Year 30)</t>
        </is>
      </c>
      <c r="B41" s="17">
        <f>F38</f>
        <v/>
      </c>
    </row>
    <row r="42">
      <c r="A42" s="4" t="inlineStr">
        <is>
          <t>Total Cumulative Cash Flow</t>
        </is>
      </c>
      <c r="B42" s="17">
        <f>H38</f>
        <v/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E44AD"/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40" customWidth="1" min="4" max="4"/>
  </cols>
  <sheetData>
    <row r="1" ht="40" customHeight="1">
      <c r="A1" s="1" t="inlineStr">
        <is>
          <t>📊 Deal Scorecard — One-Page Summary</t>
        </is>
      </c>
    </row>
    <row r="3" ht="28" customHeight="1">
      <c r="A3" s="2" t="inlineStr">
        <is>
          <t>DEAL OVERVIEW</t>
        </is>
      </c>
      <c r="B3" s="3" t="n"/>
      <c r="C3" s="3" t="n"/>
      <c r="D3" s="3" t="n"/>
    </row>
    <row r="5">
      <c r="A5" s="4" t="inlineStr">
        <is>
          <t>Purchase Price</t>
        </is>
      </c>
      <c r="B5" s="17">
        <f>"Deal Input"!C7</f>
        <v/>
      </c>
    </row>
    <row r="6">
      <c r="A6" s="4" t="inlineStr">
        <is>
          <t>ARV</t>
        </is>
      </c>
      <c r="B6" s="17">
        <f>"Deal Input"!C8</f>
        <v/>
      </c>
    </row>
    <row r="7">
      <c r="A7" s="4" t="inlineStr">
        <is>
          <t>Rehab Budget</t>
        </is>
      </c>
      <c r="B7" s="17">
        <f>"Deal Input"!C9</f>
        <v/>
      </c>
    </row>
    <row r="8">
      <c r="A8" s="4" t="inlineStr">
        <is>
          <t>Total Cash Needed</t>
        </is>
      </c>
      <c r="B8" s="17">
        <f>"BRRRR Analyzer"!C9</f>
        <v/>
      </c>
    </row>
    <row r="9">
      <c r="A9" s="4" t="inlineStr">
        <is>
          <t>Monthly Rent</t>
        </is>
      </c>
      <c r="B9" s="17">
        <f>"Deal Input"!C20</f>
        <v/>
      </c>
    </row>
    <row r="10">
      <c r="A10" s="4" t="inlineStr">
        <is>
          <t>Cash Pulled Out (Refi)</t>
        </is>
      </c>
      <c r="B10" s="17">
        <f>"BRRRR Analyzer"!B20</f>
        <v/>
      </c>
    </row>
    <row r="12" ht="28" customHeight="1">
      <c r="A12" s="2" t="inlineStr">
        <is>
          <t>RETURN METRICS</t>
        </is>
      </c>
      <c r="B12" s="3" t="n"/>
      <c r="C12" s="3" t="n"/>
      <c r="D12" s="3" t="n"/>
    </row>
    <row r="14">
      <c r="A14" s="4" t="inlineStr">
        <is>
          <t>Cash on Cash Return</t>
        </is>
      </c>
      <c r="B14" s="12">
        <f>"BRRRR Analyzer"!B30</f>
        <v/>
      </c>
    </row>
    <row r="15">
      <c r="A15" s="4" t="inlineStr">
        <is>
          <t>BRRRR Quality</t>
        </is>
      </c>
      <c r="B15" s="5">
        <f>"BRRRR Analyzer"!B35</f>
        <v/>
      </c>
    </row>
    <row r="16">
      <c r="A16" s="4" t="inlineStr">
        <is>
          <t>Flip Profit</t>
        </is>
      </c>
      <c r="B16" s="17">
        <f>"Flip Analyzer"!C20</f>
        <v/>
      </c>
    </row>
    <row r="17">
      <c r="A17" s="4" t="inlineStr">
        <is>
          <t>Flip ROI</t>
        </is>
      </c>
      <c r="B17" s="12">
        <f>"Flip Analyzer"!C21</f>
        <v/>
      </c>
    </row>
    <row r="18">
      <c r="A18" s="4" t="inlineStr">
        <is>
          <t>30yr Avg Annual CF</t>
        </is>
      </c>
      <c r="B18" s="17">
        <f>"Buy &amp; Hold 30yr"!C41</f>
        <v/>
      </c>
    </row>
    <row r="20" ht="28" customHeight="1">
      <c r="A20" s="2" t="inlineStr">
        <is>
          <t>DEAL QUALITY SCORE</t>
        </is>
      </c>
      <c r="B20" s="3" t="n"/>
      <c r="C20" s="3" t="n"/>
      <c r="D20" s="3" t="n"/>
    </row>
    <row r="22">
      <c r="A22" s="18" t="inlineStr"/>
    </row>
    <row r="23">
      <c r="A23" s="4" t="inlineStr">
        <is>
          <t>Score Conditions</t>
        </is>
      </c>
      <c r="B23" s="5">
        <f>IF(AND("BRRRR Analyzer"!B20&gt;0,"BRRRR Analyzer"!B30&gt;=0.1),"GREEN 🟢",IF(OR("BRRRR Analyzer"!B20&gt;0,"BRRRR Analyzer"!B30&gt;=0.05),"YELLOW ⚠️","RED 🔴"))</f>
        <v/>
      </c>
    </row>
    <row r="25" ht="50" customHeight="1">
      <c r="A25" s="19" t="inlineStr">
        <is>
          <t>🟢 GREEN: Strong deal — positive cash-out, CoC ≥ 10%
⚠️ YELLOW: Borderline — review assumptions closely
🔴 RED: Weak deal — cash-flow negative or poor returns</t>
        </is>
      </c>
    </row>
    <row r="26"/>
    <row r="27"/>
  </sheetData>
  <mergeCells count="6">
    <mergeCell ref="A1:D1"/>
    <mergeCell ref="A12:D12"/>
    <mergeCell ref="A25:D27"/>
    <mergeCell ref="A3:D3"/>
    <mergeCell ref="A20:D20"/>
    <mergeCell ref="A22:B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ABC9C"/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40" customHeight="1">
      <c r="A1" s="1" t="inlineStr">
        <is>
          <t>🔄 Refinance Scenario Builder — Compare LTV &amp; Rates</t>
        </is>
      </c>
    </row>
    <row r="3" ht="28" customHeight="1">
      <c r="A3" s="2" t="inlineStr">
        <is>
          <t>VARY REFINANCE LTV (Fixed ARV &amp; Rate)</t>
        </is>
      </c>
      <c r="B3" s="3" t="n"/>
      <c r="C3" s="3" t="n"/>
      <c r="D3" s="3" t="n"/>
      <c r="E3" s="3" t="n"/>
      <c r="F3" s="3" t="n"/>
    </row>
    <row r="5">
      <c r="A5" s="14" t="inlineStr">
        <is>
          <t>LTV %</t>
        </is>
      </c>
      <c r="B5" s="14" t="inlineStr">
        <is>
          <t>Max Loan</t>
        </is>
      </c>
      <c r="C5" s="14" t="inlineStr">
        <is>
          <t>Cash Out</t>
        </is>
      </c>
      <c r="D5" s="14" t="inlineStr">
        <is>
          <t>Cash Left In</t>
        </is>
      </c>
      <c r="E5" s="14" t="inlineStr">
        <is>
          <t>Monthly P&amp;I</t>
        </is>
      </c>
      <c r="F5" s="14" t="inlineStr">
        <is>
          <t>CoC Return</t>
        </is>
      </c>
    </row>
    <row r="6">
      <c r="A6" s="20" t="n">
        <v>0.65</v>
      </c>
      <c r="B6" s="16">
        <f>ROUND("Deal Input"!C8*$A$6,2)</f>
        <v/>
      </c>
      <c r="C6" s="16">
        <f>ROUND(B6-"Deal Input"!C7*1.06-"Deal Input"!C9-"BRRRR Analyzer"!C7,2)</f>
        <v/>
      </c>
      <c r="D6" s="16">
        <f>ROUND("BRRRR Analyzer"!C9-C6,2)</f>
        <v/>
      </c>
      <c r="E6" s="16">
        <f>ROUND(PMT("Deal Input"!C17/12,"Deal Input"!C15*12,-B6),2)</f>
        <v/>
      </c>
      <c r="F6" s="21">
        <f>IF(D6&gt;0,("BRRRR Analyzer"!B27-"BRRRR Analyzer"!B28)/D6,"N/A")</f>
        <v/>
      </c>
    </row>
    <row r="7">
      <c r="A7" s="20" t="n">
        <v>0.675</v>
      </c>
      <c r="B7" s="16">
        <f>ROUND("Deal Input"!C8*$A$7,2)</f>
        <v/>
      </c>
      <c r="C7" s="16">
        <f>ROUND(B7-"Deal Input"!C7*1.06-"Deal Input"!C9-"BRRRR Analyzer"!C7,2)</f>
        <v/>
      </c>
      <c r="D7" s="16">
        <f>ROUND("BRRRR Analyzer"!C9-C7,2)</f>
        <v/>
      </c>
      <c r="E7" s="16">
        <f>ROUND(PMT("Deal Input"!C17/12,"Deal Input"!C15*12,-B7),2)</f>
        <v/>
      </c>
      <c r="F7" s="21">
        <f>IF(D7&gt;0,("BRRRR Analyzer"!B27-"BRRRR Analyzer"!B28)/D7,"N/A")</f>
        <v/>
      </c>
    </row>
    <row r="8">
      <c r="A8" s="20" t="n">
        <v>0.7000000000000001</v>
      </c>
      <c r="B8" s="16">
        <f>ROUND("Deal Input"!C8*$A$8,2)</f>
        <v/>
      </c>
      <c r="C8" s="16">
        <f>ROUND(B8-"Deal Input"!C7*1.06-"Deal Input"!C9-"BRRRR Analyzer"!C7,2)</f>
        <v/>
      </c>
      <c r="D8" s="16">
        <f>ROUND("BRRRR Analyzer"!C9-C8,2)</f>
        <v/>
      </c>
      <c r="E8" s="16">
        <f>ROUND(PMT("Deal Input"!C17/12,"Deal Input"!C15*12,-B8),2)</f>
        <v/>
      </c>
      <c r="F8" s="21">
        <f>IF(D8&gt;0,("BRRRR Analyzer"!B27-"BRRRR Analyzer"!B28)/D8,"N/A")</f>
        <v/>
      </c>
    </row>
    <row r="9">
      <c r="A9" s="20" t="n">
        <v>0.7250000000000001</v>
      </c>
      <c r="B9" s="16">
        <f>ROUND("Deal Input"!C8*$A$9,2)</f>
        <v/>
      </c>
      <c r="C9" s="16">
        <f>ROUND(B9-"Deal Input"!C7*1.06-"Deal Input"!C9-"BRRRR Analyzer"!C7,2)</f>
        <v/>
      </c>
      <c r="D9" s="16">
        <f>ROUND("BRRRR Analyzer"!C9-C9,2)</f>
        <v/>
      </c>
      <c r="E9" s="16">
        <f>ROUND(PMT("Deal Input"!C17/12,"Deal Input"!C15*12,-B9),2)</f>
        <v/>
      </c>
      <c r="F9" s="21">
        <f>IF(D9&gt;0,("BRRRR Analyzer"!B27-"BRRRR Analyzer"!B28)/D9,"N/A")</f>
        <v/>
      </c>
    </row>
    <row r="10">
      <c r="A10" s="20" t="n">
        <v>0.75</v>
      </c>
      <c r="B10" s="16">
        <f>ROUND("Deal Input"!C8*$A$10,2)</f>
        <v/>
      </c>
      <c r="C10" s="16">
        <f>ROUND(B10-"Deal Input"!C7*1.06-"Deal Input"!C9-"BRRRR Analyzer"!C7,2)</f>
        <v/>
      </c>
      <c r="D10" s="16">
        <f>ROUND("BRRRR Analyzer"!C9-C10,2)</f>
        <v/>
      </c>
      <c r="E10" s="16">
        <f>ROUND(PMT("Deal Input"!C17/12,"Deal Input"!C15*12,-B10),2)</f>
        <v/>
      </c>
      <c r="F10" s="21">
        <f>IF(D10&gt;0,("BRRRR Analyzer"!B27-"BRRRR Analyzer"!B28)/D10,"N/A")</f>
        <v/>
      </c>
    </row>
    <row r="13" ht="28" customHeight="1">
      <c r="A13" s="2" t="inlineStr">
        <is>
          <t>VARY ARV (Fixed LTV &amp; Rate)</t>
        </is>
      </c>
      <c r="B13" s="3" t="n"/>
      <c r="C13" s="3" t="n"/>
      <c r="D13" s="3" t="n"/>
      <c r="E13" s="3" t="n"/>
      <c r="F13" s="3" t="n"/>
    </row>
    <row r="15">
      <c r="A15" s="14" t="inlineStr">
        <is>
          <t>LTV %</t>
        </is>
      </c>
      <c r="B15" s="14" t="inlineStr">
        <is>
          <t>Max Loan</t>
        </is>
      </c>
      <c r="C15" s="14" t="inlineStr">
        <is>
          <t>Cash Out</t>
        </is>
      </c>
      <c r="D15" s="14" t="inlineStr">
        <is>
          <t>Cash Left In</t>
        </is>
      </c>
      <c r="E15" s="14" t="inlineStr">
        <is>
          <t>Monthly P&amp;I</t>
        </is>
      </c>
      <c r="F15" s="14" t="inlineStr">
        <is>
          <t>CoC Return</t>
        </is>
      </c>
    </row>
    <row r="16">
      <c r="A16" s="16">
        <f>ROUND("Deal Input"!C8*0.8,0)</f>
        <v/>
      </c>
      <c r="B16" s="16">
        <f>ROUND(A16*"Deal Input"!C16,2)</f>
        <v/>
      </c>
      <c r="C16" s="16">
        <f>ROUND(B16-"Deal Input"!C7*1.06-"Deal Input"!C9-"BRRRR Analyzer"!C7,2)</f>
        <v/>
      </c>
      <c r="D16" s="16">
        <f>ROUND("BRRRR Analyzer"!C9-C16,2)</f>
        <v/>
      </c>
      <c r="E16" s="16">
        <f>ROUND(PMT("Deal Input"!C17/12,"Deal Input"!C15*12,-B16),2)</f>
        <v/>
      </c>
      <c r="F16" s="21">
        <f>IF(D16&gt;0,("BRRRR Analyzer"!B27-"BRRRR Analyzer"!B28)/D16,"N/A")</f>
        <v/>
      </c>
    </row>
    <row r="17">
      <c r="A17" s="16">
        <f>ROUND("Deal Input"!C8*0.9,0)</f>
        <v/>
      </c>
      <c r="B17" s="16">
        <f>ROUND(A17*"Deal Input"!C16,2)</f>
        <v/>
      </c>
      <c r="C17" s="16">
        <f>ROUND(B17-"Deal Input"!C7*1.06-"Deal Input"!C9-"BRRRR Analyzer"!C7,2)</f>
        <v/>
      </c>
      <c r="D17" s="16">
        <f>ROUND("BRRRR Analyzer"!C9-C17,2)</f>
        <v/>
      </c>
      <c r="E17" s="16">
        <f>ROUND(PMT("Deal Input"!C17/12,"Deal Input"!C15*12,-B17),2)</f>
        <v/>
      </c>
      <c r="F17" s="21">
        <f>IF(D17&gt;0,("BRRRR Analyzer"!B27-"BRRRR Analyzer"!B28)/D17,"N/A")</f>
        <v/>
      </c>
    </row>
    <row r="18">
      <c r="A18" s="16">
        <f>ROUND("Deal Input"!C8*1.0,0)</f>
        <v/>
      </c>
      <c r="B18" s="16">
        <f>ROUND(A18*"Deal Input"!C16,2)</f>
        <v/>
      </c>
      <c r="C18" s="16">
        <f>ROUND(B18-"Deal Input"!C7*1.06-"Deal Input"!C9-"BRRRR Analyzer"!C7,2)</f>
        <v/>
      </c>
      <c r="D18" s="16">
        <f>ROUND("BRRRR Analyzer"!C9-C18,2)</f>
        <v/>
      </c>
      <c r="E18" s="16">
        <f>ROUND(PMT("Deal Input"!C17/12,"Deal Input"!C15*12,-B18),2)</f>
        <v/>
      </c>
      <c r="F18" s="21">
        <f>IF(D18&gt;0,("BRRRR Analyzer"!B27-"BRRRR Analyzer"!B28)/D18,"N/A")</f>
        <v/>
      </c>
    </row>
    <row r="19">
      <c r="A19" s="16">
        <f>ROUND("Deal Input"!C8*1.1,0)</f>
        <v/>
      </c>
      <c r="B19" s="16">
        <f>ROUND(A19*"Deal Input"!C16,2)</f>
        <v/>
      </c>
      <c r="C19" s="16">
        <f>ROUND(B19-"Deal Input"!C7*1.06-"Deal Input"!C9-"BRRRR Analyzer"!C7,2)</f>
        <v/>
      </c>
      <c r="D19" s="16">
        <f>ROUND("BRRRR Analyzer"!C9-C19,2)</f>
        <v/>
      </c>
      <c r="E19" s="16">
        <f>ROUND(PMT("Deal Input"!C17/12,"Deal Input"!C15*12,-B19),2)</f>
        <v/>
      </c>
      <c r="F19" s="21">
        <f>IF(D19&gt;0,("BRRRR Analyzer"!B27-"BRRRR Analyzer"!B28)/D19,"N/A")</f>
        <v/>
      </c>
    </row>
    <row r="20">
      <c r="A20" s="16">
        <f>ROUND("Deal Input"!C8*1.2,0)</f>
        <v/>
      </c>
      <c r="B20" s="16">
        <f>ROUND(A20*"Deal Input"!C16,2)</f>
        <v/>
      </c>
      <c r="C20" s="16">
        <f>ROUND(B20-"Deal Input"!C7*1.06-"Deal Input"!C9-"BRRRR Analyzer"!C7,2)</f>
        <v/>
      </c>
      <c r="D20" s="16">
        <f>ROUND("BRRRR Analyzer"!C9-C20,2)</f>
        <v/>
      </c>
      <c r="E20" s="16">
        <f>ROUND(PMT("Deal Input"!C17/12,"Deal Input"!C15*12,-B20),2)</f>
        <v/>
      </c>
      <c r="F20" s="21">
        <f>IF(D20&gt;0,("BRRRR Analyzer"!B27-"BRRRR Analyzer"!B28)/D20,"N/A")</f>
        <v/>
      </c>
    </row>
    <row r="23">
      <c r="A23" s="6" t="inlineStr">
        <is>
          <t>💡 Tip: Look for the scenario with highest Cash Out AND positive Cash Left In for the best BRRRR result.</t>
        </is>
      </c>
    </row>
  </sheetData>
  <mergeCells count="4">
    <mergeCell ref="A3:F3"/>
    <mergeCell ref="A13:F13"/>
    <mergeCell ref="A1:F1"/>
    <mergeCell ref="A23:F2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9B59B6"/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30" customWidth="1" min="5" max="5"/>
  </cols>
  <sheetData>
    <row r="1" ht="40" customHeight="1">
      <c r="A1" s="1" t="inlineStr">
        <is>
          <t>🎯 Deal Criteria Rubric — Define Your Buy Box</t>
        </is>
      </c>
    </row>
    <row r="3" ht="28" customHeight="1">
      <c r="A3" s="2" t="inlineStr">
        <is>
          <t>YOUR BUY BOX (Edit these thresholds to match your criteria)</t>
        </is>
      </c>
      <c r="B3" s="3" t="n"/>
      <c r="C3" s="3" t="n"/>
      <c r="D3" s="3" t="n"/>
      <c r="E3" s="3" t="n"/>
    </row>
    <row r="5">
      <c r="A5" s="14" t="inlineStr">
        <is>
          <t>Criteria</t>
        </is>
      </c>
      <c r="B5" s="14" t="inlineStr">
        <is>
          <t>Your Minimum</t>
        </is>
      </c>
      <c r="C5" s="14" t="inlineStr">
        <is>
          <t>Your Maximum</t>
        </is>
      </c>
      <c r="D5" s="14" t="inlineStr">
        <is>
          <t>Current Deal</t>
        </is>
      </c>
      <c r="E5" s="14" t="inlineStr">
        <is>
          <t>Pass/Fail</t>
        </is>
      </c>
    </row>
    <row r="6">
      <c r="A6" s="22" t="inlineStr">
        <is>
          <t>Purchase Price</t>
        </is>
      </c>
      <c r="B6" s="23" t="n">
        <v>0</v>
      </c>
      <c r="C6" s="23" t="n">
        <v>300000</v>
      </c>
      <c r="D6" s="23">
        <f>"Deal Input"!C7</f>
        <v/>
      </c>
      <c r="E6" s="23">
        <f>IF(AND(D6&gt;=B6,D6&lt;=C6),"✅ PASS","❌ FAIL")</f>
        <v/>
      </c>
    </row>
    <row r="7">
      <c r="A7" s="22" t="inlineStr">
        <is>
          <t>ARV</t>
        </is>
      </c>
      <c r="B7" s="23" t="n">
        <v>0</v>
      </c>
      <c r="C7" s="23" t="n">
        <v>400000</v>
      </c>
      <c r="D7" s="23">
        <f>"Deal Input"!C8</f>
        <v/>
      </c>
      <c r="E7" s="23">
        <f>IF(AND(D7&gt;=B7,D7&lt;=C7),"✅ PASS","❌ FAIL")</f>
        <v/>
      </c>
    </row>
    <row r="8">
      <c r="A8" s="22" t="inlineStr">
        <is>
          <t>Rehab Budget</t>
        </is>
      </c>
      <c r="B8" s="23" t="n">
        <v>0</v>
      </c>
      <c r="C8" s="23" t="n">
        <v>50000</v>
      </c>
      <c r="D8" s="23">
        <f>"Deal Input"!C9</f>
        <v/>
      </c>
      <c r="E8" s="23">
        <f>IF(AND(D8&gt;=B8,D8&lt;=C8),"✅ PASS","❌ FAIL")</f>
        <v/>
      </c>
    </row>
    <row r="9">
      <c r="A9" s="22" t="inlineStr">
        <is>
          <t>Cash on Cash Return</t>
        </is>
      </c>
      <c r="B9" s="23" t="n">
        <v>0.08</v>
      </c>
      <c r="C9" s="23" t="n">
        <v>1</v>
      </c>
      <c r="D9" s="23">
        <f>"BRRRR Analyzer"!B30</f>
        <v/>
      </c>
      <c r="E9" s="23">
        <f>IF(AND(D9&gt;=B9,D9&lt;=C9),"✅ PASS","❌ FAIL")</f>
        <v/>
      </c>
    </row>
    <row r="10">
      <c r="A10" s="22" t="inlineStr">
        <is>
          <t>Cash Pulled Out</t>
        </is>
      </c>
      <c r="B10" s="23" t="n">
        <v>0</v>
      </c>
      <c r="C10" s="23" t="n">
        <v>1000000</v>
      </c>
      <c r="D10" s="23">
        <f>"BRRRR Analyzer"!B20</f>
        <v/>
      </c>
      <c r="E10" s="23">
        <f>IF(AND(D10&gt;=B10,D10&lt;=C10),"✅ PASS","❌ FAIL")</f>
        <v/>
      </c>
    </row>
    <row r="11">
      <c r="A11" s="22" t="inlineStr">
        <is>
          <t>Max LTV</t>
        </is>
      </c>
      <c r="B11" s="23" t="n">
        <v>0</v>
      </c>
      <c r="C11" s="23" t="n">
        <v>0.75</v>
      </c>
      <c r="D11" s="23">
        <f>"Deal Input"!C16</f>
        <v/>
      </c>
      <c r="E11" s="23">
        <f>IF(AND(D11&gt;=B11,D11&lt;=C11),"✅ PASS","❌ FAIL")</f>
        <v/>
      </c>
    </row>
    <row r="12">
      <c r="A12" s="22" t="inlineStr">
        <is>
          <t>Min Monthly Cash Flow</t>
        </is>
      </c>
      <c r="B12" s="23" t="n">
        <v>100</v>
      </c>
      <c r="C12" s="23" t="n">
        <v>10000</v>
      </c>
      <c r="D12" s="23">
        <f>("BRRRR Analyzer"!B27-"BRRRR Analyzer"!B28)/12</f>
        <v/>
      </c>
      <c r="E12" s="23">
        <f>IF(AND(D12&gt;=B12,D12&lt;=C12),"✅ PASS","❌ FAIL")</f>
        <v/>
      </c>
    </row>
    <row r="13">
      <c r="A13" s="22" t="inlineStr">
        <is>
          <t>Max Purchase Price</t>
        </is>
      </c>
      <c r="B13" s="23" t="n">
        <v>0</v>
      </c>
      <c r="C13" s="23" t="n">
        <v>500000</v>
      </c>
      <c r="D13" s="23">
        <f>"Deal Input"!C7</f>
        <v/>
      </c>
      <c r="E13" s="23">
        <f>IF(AND(D13&gt;=B13,D13&lt;=C13),"✅ PASS","❌ FAIL")</f>
        <v/>
      </c>
    </row>
    <row r="14">
      <c r="A14" s="22" t="inlineStr">
        <is>
          <t>Min Rent/Price Ratio</t>
        </is>
      </c>
      <c r="B14" s="23" t="n">
        <v>0.008</v>
      </c>
      <c r="C14" s="23" t="n">
        <v>1</v>
      </c>
      <c r="D14" s="23">
        <f>"Deal Input"!C20*12/"Deal Input"!C8</f>
        <v/>
      </c>
      <c r="E14" s="23">
        <f>IF(AND(D14&gt;=B14,D14&lt;=C14),"✅ PASS","❌ FAIL")</f>
        <v/>
      </c>
    </row>
    <row r="17" ht="28" customHeight="1">
      <c r="A17" s="2" t="inlineStr">
        <is>
          <t>OVERALL BUY BOX RESULT</t>
        </is>
      </c>
      <c r="B17" s="3" t="n"/>
      <c r="C17" s="3" t="n"/>
      <c r="D17" s="3" t="n"/>
      <c r="E17" s="3" t="n"/>
    </row>
    <row r="19">
      <c r="A19" s="4" t="inlineStr">
        <is>
          <t>All Criteria Met?</t>
        </is>
      </c>
      <c r="B19" s="5">
        <f>IF(COUNTIF(E9:E17,"❌ FAIL")=0,"✅ ALL PASS — BUY IT!","❌ Some criteria failed — review")</f>
        <v/>
      </c>
    </row>
    <row r="21">
      <c r="A21" s="24" t="inlineStr">
        <is>
          <t>How to use: Set your minimum/maximum thresholds in columns B &amp; C. The sheet auto-flags whether your deal meets your buy box.</t>
        </is>
      </c>
    </row>
  </sheetData>
  <mergeCells count="4">
    <mergeCell ref="A21:E21"/>
    <mergeCell ref="A1:E1"/>
    <mergeCell ref="A17:E17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2026-05-03T17:32:18Z</dcterms:created>
  <dcterms:modified xsi:type="dcterms:W3CDTF">2026-05-03T17:32:18Z</dcterms:modified>
</cp:coreProperties>
</file>